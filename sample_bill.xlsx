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应收汇总表" sheetId="2" r:id="rId1"/>
    <sheet name="26.4" sheetId="1" r:id="rId2"/>
  </sheets>
  <definedNames>
    <definedName name="_xlnm._FilterDatabase" localSheetId="1" hidden="1">'26.4'!$A$8:$W$58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szmtgyll</author>
  </authors>
  <commentList>
    <comment ref="O5" authorId="0">
      <text>
        <r>
          <rPr>
            <b/>
            <sz val="9"/>
            <rFont val="宋体"/>
            <charset val="134"/>
          </rPr>
          <t>szmtgyll:</t>
        </r>
        <r>
          <rPr>
            <sz val="9"/>
            <rFont val="宋体"/>
            <charset val="134"/>
          </rPr>
          <t xml:space="preserve">
已开（表示已经开具发票），空白（表示未开或不开）</t>
        </r>
      </text>
    </comment>
    <comment ref="P5" authorId="0">
      <text>
        <r>
          <rPr>
            <b/>
            <sz val="9"/>
            <rFont val="宋体"/>
            <charset val="134"/>
          </rPr>
          <t>szmtgyll:</t>
        </r>
        <r>
          <rPr>
            <sz val="9"/>
            <rFont val="宋体"/>
            <charset val="134"/>
          </rPr>
          <t xml:space="preserve">
客户款项付到哪个银行账户</t>
        </r>
      </text>
    </comment>
  </commentList>
</comments>
</file>

<file path=xl/sharedStrings.xml><?xml version="1.0" encoding="utf-8"?>
<sst xmlns="http://schemas.openxmlformats.org/spreadsheetml/2006/main" count="1593" uniqueCount="388">
  <si>
    <t>伍二伍—应收账款汇总表</t>
  </si>
  <si>
    <t>沟通群名：</t>
  </si>
  <si>
    <t>伍二伍&amp;美通服务对接群</t>
  </si>
  <si>
    <t>沟通平台</t>
  </si>
  <si>
    <t>微信群</t>
  </si>
  <si>
    <t>销售代表：</t>
  </si>
  <si>
    <t>孙宁泽-南京</t>
  </si>
  <si>
    <t>客户类型：</t>
  </si>
  <si>
    <t>直客</t>
  </si>
  <si>
    <t>回款账期：</t>
  </si>
  <si>
    <t>月结</t>
  </si>
  <si>
    <t>日期</t>
  </si>
  <si>
    <t>账单号</t>
  </si>
  <si>
    <t>币种</t>
  </si>
  <si>
    <t>账单金额</t>
  </si>
  <si>
    <t>汇率</t>
  </si>
  <si>
    <t>折算本位币</t>
  </si>
  <si>
    <t>收款日期</t>
  </si>
  <si>
    <t>收款金额</t>
  </si>
  <si>
    <t>汇率差额调整</t>
  </si>
  <si>
    <t>综合本位币余额（正数表欠款，负数表预付款或多付款余额）</t>
  </si>
  <si>
    <t>备注说明</t>
  </si>
  <si>
    <t>发票开具情况</t>
  </si>
  <si>
    <t>支付账户</t>
  </si>
  <si>
    <t>26.4月</t>
  </si>
  <si>
    <t>HFAR26051100197</t>
  </si>
  <si>
    <t>RMB</t>
  </si>
  <si>
    <t>对公</t>
  </si>
  <si>
    <t>应收款折合人民币总金额：</t>
  </si>
  <si>
    <t>收款折合人民币总金额：</t>
  </si>
  <si>
    <t>应收余额：</t>
  </si>
  <si>
    <t>合肥美通供应链有限公司</t>
  </si>
  <si>
    <t>对账单</t>
  </si>
  <si>
    <t>账单编号：</t>
  </si>
  <si>
    <t/>
  </si>
  <si>
    <t>账单日期：</t>
  </si>
  <si>
    <t>2026-05-11 16:51:04</t>
  </si>
  <si>
    <t>到期日期：</t>
  </si>
  <si>
    <t>2026-05-31 16:51:04</t>
  </si>
  <si>
    <t>客户名称：</t>
  </si>
  <si>
    <t>伍二伍</t>
  </si>
  <si>
    <t>序号</t>
  </si>
  <si>
    <t>运单号</t>
  </si>
  <si>
    <t>费用类型</t>
  </si>
  <si>
    <t>客户单号</t>
  </si>
  <si>
    <t>转单号</t>
  </si>
  <si>
    <t>扩展单号</t>
  </si>
  <si>
    <t>服务类型</t>
  </si>
  <si>
    <t>仓库代码</t>
  </si>
  <si>
    <t>邮编</t>
  </si>
  <si>
    <t>收费重(KG/CBM)</t>
  </si>
  <si>
    <t>单价</t>
  </si>
  <si>
    <t>单价单位</t>
  </si>
  <si>
    <t>数量</t>
  </si>
  <si>
    <t>件数</t>
  </si>
  <si>
    <t>发往国家</t>
  </si>
  <si>
    <t>金额</t>
  </si>
  <si>
    <t>折合人民币</t>
  </si>
  <si>
    <t>运单状态</t>
  </si>
  <si>
    <t>描述</t>
  </si>
  <si>
    <t>报关方式</t>
  </si>
  <si>
    <t>1</t>
  </si>
  <si>
    <t>NJHL2604038165</t>
  </si>
  <si>
    <t>运费</t>
  </si>
  <si>
    <t>2026-04-23 06:08:55</t>
  </si>
  <si>
    <t>FBA15LNZ9WV6</t>
  </si>
  <si>
    <t>FBA15LNZ9WV6,FBA15LNYTX7M</t>
  </si>
  <si>
    <t>欧洲卡派BE1专线-华东</t>
  </si>
  <si>
    <t>HAJ1</t>
  </si>
  <si>
    <t>38350</t>
  </si>
  <si>
    <t>317.000</t>
  </si>
  <si>
    <t>5.2000</t>
  </si>
  <si>
    <t>KG</t>
  </si>
  <si>
    <t>17</t>
  </si>
  <si>
    <t>德国</t>
  </si>
  <si>
    <t>CNY</t>
  </si>
  <si>
    <t>1648.40</t>
  </si>
  <si>
    <t>1.0000</t>
  </si>
  <si>
    <t>已开船</t>
  </si>
  <si>
    <t>代理报关</t>
  </si>
  <si>
    <t>2</t>
  </si>
  <si>
    <t>NJZK2604038402</t>
  </si>
  <si>
    <t>2026-04-23 06:11:02</t>
  </si>
  <si>
    <t>FBA15LP6ZVSC</t>
  </si>
  <si>
    <t>FBA15LP6ZVSC,FBA15LNZCF77,FBA15LNZ5C4X,FBA15LNZ9RK9,FBA15LNZ0F8K,FBA15LNYV643,FBA15LNYVRLD,FBA15LNYVRBN,FBA15LNYSXLY</t>
  </si>
  <si>
    <t>中航班车-VAT</t>
  </si>
  <si>
    <t>314.000</t>
  </si>
  <si>
    <t>12.0000</t>
  </si>
  <si>
    <t>3768.00</t>
  </si>
  <si>
    <t>已发车</t>
  </si>
  <si>
    <t>3</t>
  </si>
  <si>
    <t>清关费</t>
  </si>
  <si>
    <t>200.0000</t>
  </si>
  <si>
    <t>票</t>
  </si>
  <si>
    <t>1.000</t>
  </si>
  <si>
    <t>200.00</t>
  </si>
  <si>
    <t>4</t>
  </si>
  <si>
    <t>NJHL2604038168</t>
  </si>
  <si>
    <t>2026-04-23 06:11:24</t>
  </si>
  <si>
    <t>FBA15LP6W6HR</t>
  </si>
  <si>
    <t>FBA15LP6W6HR,FBA15LP76GBN,FBA15LP6PWV7</t>
  </si>
  <si>
    <t>DTM1</t>
  </si>
  <si>
    <t>59368</t>
  </si>
  <si>
    <t>235.000</t>
  </si>
  <si>
    <t>5.0000</t>
  </si>
  <si>
    <t>15</t>
  </si>
  <si>
    <t>1175.00</t>
  </si>
  <si>
    <t>5</t>
  </si>
  <si>
    <t>NJHL2604038177</t>
  </si>
  <si>
    <t>2026-04-23 06:11:29</t>
  </si>
  <si>
    <t>FBA15LP9V1BC</t>
  </si>
  <si>
    <t>FBA15LP9V1BC,FBA15LP9V8Z4,FBA15LNZ2WKQ</t>
  </si>
  <si>
    <t>MHG9-IDU4</t>
  </si>
  <si>
    <t>63801</t>
  </si>
  <si>
    <t>14</t>
  </si>
  <si>
    <t>1222.00</t>
  </si>
  <si>
    <t>6</t>
  </si>
  <si>
    <t>NJZK2604038233</t>
  </si>
  <si>
    <t>2026-04-23 06:11:36</t>
  </si>
  <si>
    <t>FBA15LPB5J0J</t>
  </si>
  <si>
    <t>00340434791772611630</t>
  </si>
  <si>
    <t>LEJ3</t>
  </si>
  <si>
    <t>39171</t>
  </si>
  <si>
    <t>20.000</t>
  </si>
  <si>
    <t>15.0000</t>
  </si>
  <si>
    <t>300.00</t>
  </si>
  <si>
    <t>7</t>
  </si>
  <si>
    <t>NJBL2604038318</t>
  </si>
  <si>
    <t>2026-04-23 06:11:40</t>
  </si>
  <si>
    <t>FBA15LPDPRDM</t>
  </si>
  <si>
    <t>欧洲空运特惠线（卡派）</t>
  </si>
  <si>
    <t>DTM2</t>
  </si>
  <si>
    <t>44145</t>
  </si>
  <si>
    <t>37.0000</t>
  </si>
  <si>
    <t>740.00</t>
  </si>
  <si>
    <t>已落地</t>
  </si>
  <si>
    <t>8</t>
  </si>
  <si>
    <t>NJZK2604038295</t>
  </si>
  <si>
    <t>2026-04-23 06:13:27</t>
  </si>
  <si>
    <t>FBA15LPD25TR</t>
  </si>
  <si>
    <t>00340434791772611647</t>
  </si>
  <si>
    <t>59.000</t>
  </si>
  <si>
    <t>13.0000</t>
  </si>
  <si>
    <t>767.00</t>
  </si>
  <si>
    <t>9</t>
  </si>
  <si>
    <t>10</t>
  </si>
  <si>
    <t>NJZK2604038234</t>
  </si>
  <si>
    <t>2026-04-23 06:14:28</t>
  </si>
  <si>
    <t>FBA15LPB4YLJ</t>
  </si>
  <si>
    <t>FBA15LPB4YLJ,FBA15LPB2J09,FBA15LNZCWX2</t>
  </si>
  <si>
    <t>131.000</t>
  </si>
  <si>
    <t>11.5000</t>
  </si>
  <si>
    <t>1506.50</t>
  </si>
  <si>
    <t>11</t>
  </si>
  <si>
    <t>NJHL2604038167</t>
  </si>
  <si>
    <t>2026-04-23 06:14:34</t>
  </si>
  <si>
    <t>FBA15LNZCHJV</t>
  </si>
  <si>
    <t>00340434791772606735</t>
  </si>
  <si>
    <t>FBA15LNZCHJV,FBA15LNZCX1L</t>
  </si>
  <si>
    <t>RLG1</t>
  </si>
  <si>
    <t>18196</t>
  </si>
  <si>
    <t>123.000</t>
  </si>
  <si>
    <t>6.0000</t>
  </si>
  <si>
    <t>738.00</t>
  </si>
  <si>
    <t>12</t>
  </si>
  <si>
    <t>NJZK2604038376</t>
  </si>
  <si>
    <t>2026-04-23 06:14:50</t>
  </si>
  <si>
    <t>FBA15LP4X9B6</t>
  </si>
  <si>
    <t>FBA15LP4X9B6,FBA15LPDG975,FBA15LP4NLSC,FBA15LP4LKXZ</t>
  </si>
  <si>
    <t>92.000</t>
  </si>
  <si>
    <t>12.5000</t>
  </si>
  <si>
    <t>1150.00</t>
  </si>
  <si>
    <t>13</t>
  </si>
  <si>
    <t>NJHL2604038314</t>
  </si>
  <si>
    <t>2026-04-23 06:15:06</t>
  </si>
  <si>
    <t>FBA15LP4NYJ8</t>
  </si>
  <si>
    <t>91.000</t>
  </si>
  <si>
    <t>455.00</t>
  </si>
  <si>
    <t>NJHL2604038388</t>
  </si>
  <si>
    <t>2026-04-23 06:15:55</t>
  </si>
  <si>
    <t>FBA15LP4XTWR</t>
  </si>
  <si>
    <t>18.000</t>
  </si>
  <si>
    <t>4.9000</t>
  </si>
  <si>
    <t>88.20</t>
  </si>
  <si>
    <t>16</t>
  </si>
  <si>
    <t>NJHL2604038235</t>
  </si>
  <si>
    <t>2026-04-23 06:17:02</t>
  </si>
  <si>
    <t>FBA15LPB3PVW</t>
  </si>
  <si>
    <t>FBA15LPB3PVW,FBA15LNZGK7Z,FBA15LNYPV4L,FBA15LNYRVKF</t>
  </si>
  <si>
    <t>183.000</t>
  </si>
  <si>
    <t>896.70</t>
  </si>
  <si>
    <t>18</t>
  </si>
  <si>
    <t>NJZK2604038343</t>
  </si>
  <si>
    <t>2026-04-23 06:22:25</t>
  </si>
  <si>
    <t>FBA15LPDTKZ3</t>
  </si>
  <si>
    <t>13.5000</t>
  </si>
  <si>
    <t>270.00</t>
  </si>
  <si>
    <t>19</t>
  </si>
  <si>
    <t>NJZK2604038181</t>
  </si>
  <si>
    <t>2026-04-23 06:24:08</t>
  </si>
  <si>
    <t>FBA15LP9Y73Y</t>
  </si>
  <si>
    <t>00340434791772611760</t>
  </si>
  <si>
    <t>90.000</t>
  </si>
  <si>
    <t>1170.00</t>
  </si>
  <si>
    <t>20</t>
  </si>
  <si>
    <t>NJBL2604038231</t>
  </si>
  <si>
    <t>2026-04-23 06:25:25</t>
  </si>
  <si>
    <t>FBA15LPB55ZK</t>
  </si>
  <si>
    <t>欧洲空运特惠线</t>
  </si>
  <si>
    <t>39.5000</t>
  </si>
  <si>
    <t>790.00</t>
  </si>
  <si>
    <t>21</t>
  </si>
  <si>
    <t>NJZK2604038178</t>
  </si>
  <si>
    <t>2026-04-23 06:25:41</t>
  </si>
  <si>
    <t>FBA15LP9VR6F</t>
  </si>
  <si>
    <t>14.5000</t>
  </si>
  <si>
    <t>290.00</t>
  </si>
  <si>
    <t>22</t>
  </si>
  <si>
    <t>NJHL2604038164</t>
  </si>
  <si>
    <t>2026-04-23 06:31:34</t>
  </si>
  <si>
    <t>FBA15LNYTKWZ</t>
  </si>
  <si>
    <t>1ZB57B606818158555</t>
  </si>
  <si>
    <t>22.000</t>
  </si>
  <si>
    <t>5.7000</t>
  </si>
  <si>
    <t>125.40</t>
  </si>
  <si>
    <t>23</t>
  </si>
  <si>
    <t>NJHL2604046143</t>
  </si>
  <si>
    <t>2026-04-25 18:58:54</t>
  </si>
  <si>
    <t>FBA15LPZHF8P</t>
  </si>
  <si>
    <t>欧洲卡派BE2专线-华东</t>
  </si>
  <si>
    <t>227.000</t>
  </si>
  <si>
    <t>30</t>
  </si>
  <si>
    <t>24</t>
  </si>
  <si>
    <t>CBM</t>
  </si>
  <si>
    <t>1180.40</t>
  </si>
  <si>
    <t>25</t>
  </si>
  <si>
    <t>NJZK2604045156</t>
  </si>
  <si>
    <t>2026-04-25 18:59:06</t>
  </si>
  <si>
    <t>FBA15LPZDTBN</t>
  </si>
  <si>
    <t>FBA15LPZDTBN,FBA15LPZ1TSW,FBA15LPZ8RDS,FBA15LPYYS4P,FBA15LPYSWYL,FBA15LPYHR73</t>
  </si>
  <si>
    <t>181.000</t>
  </si>
  <si>
    <t>2172.00</t>
  </si>
  <si>
    <t>26</t>
  </si>
  <si>
    <t>27</t>
  </si>
  <si>
    <t>NJZK2604046141</t>
  </si>
  <si>
    <t>2026-04-25 18:59:13</t>
  </si>
  <si>
    <t>FBA15LPZ59MG</t>
  </si>
  <si>
    <t>00340434791772616772</t>
  </si>
  <si>
    <t>XDEA</t>
  </si>
  <si>
    <t>15713</t>
  </si>
  <si>
    <t>116.000</t>
  </si>
  <si>
    <t>1508.00</t>
  </si>
  <si>
    <t>28</t>
  </si>
  <si>
    <t>NJHL2604046142</t>
  </si>
  <si>
    <t>2026-04-25 18:59:18</t>
  </si>
  <si>
    <t>FBA15LPZ2P95</t>
  </si>
  <si>
    <t>1ZB57B606825439541</t>
  </si>
  <si>
    <t>欧洲海派BE1专线-华东</t>
  </si>
  <si>
    <t>72.000</t>
  </si>
  <si>
    <t>6.5000</t>
  </si>
  <si>
    <t>468.00</t>
  </si>
  <si>
    <t>29</t>
  </si>
  <si>
    <t>NJZK2604045600</t>
  </si>
  <si>
    <t>2026-04-25 18:59:24</t>
  </si>
  <si>
    <t>FBA15LPY26HH</t>
  </si>
  <si>
    <t>00340434791772616659</t>
  </si>
  <si>
    <t>156.000</t>
  </si>
  <si>
    <t>2028.00</t>
  </si>
  <si>
    <t>NJZK2604046140</t>
  </si>
  <si>
    <t>2026-04-25 19:07:51</t>
  </si>
  <si>
    <t>FBA15LQ16H22</t>
  </si>
  <si>
    <t>FBA15LQ16H22,FBA15LQ0WTTY,FBA15LQ0XX7F,FBA15LPYFDHX,FBA15LQ0VKQ1</t>
  </si>
  <si>
    <t>153.000</t>
  </si>
  <si>
    <t>31</t>
  </si>
  <si>
    <t>1836.00</t>
  </si>
  <si>
    <t>32</t>
  </si>
  <si>
    <t>NJHL2604045508</t>
  </si>
  <si>
    <t>2026-04-25 19:09:07</t>
  </si>
  <si>
    <t>FBA15LPZ713J</t>
  </si>
  <si>
    <t>FBA15LPZ713J,FBA15LPZ8K6J</t>
  </si>
  <si>
    <t>180.000</t>
  </si>
  <si>
    <t>936.00</t>
  </si>
  <si>
    <t>33</t>
  </si>
  <si>
    <t>34</t>
  </si>
  <si>
    <t>NJZK2604045578</t>
  </si>
  <si>
    <t>2026-04-25 19:09:51</t>
  </si>
  <si>
    <t>FBA15LQ10X1V</t>
  </si>
  <si>
    <t>FBA15LQ10X1V,FBA15LQ10WHF,FBA15LPYHSVF,FBA15LPYCRJ8</t>
  </si>
  <si>
    <t>129.000</t>
  </si>
  <si>
    <t>1612.50</t>
  </si>
  <si>
    <t>35</t>
  </si>
  <si>
    <t>NJZK2604046128</t>
  </si>
  <si>
    <t>2026-04-25 19:12:05</t>
  </si>
  <si>
    <t>FBA15LPZ2D3N</t>
  </si>
  <si>
    <t>FBA15LPZ2D3N,FBA15LPZ8BYZ</t>
  </si>
  <si>
    <t>24.000</t>
  </si>
  <si>
    <t>288.00</t>
  </si>
  <si>
    <t>36</t>
  </si>
  <si>
    <t>NJHL2604046144</t>
  </si>
  <si>
    <t>2026-04-25 19:12:37</t>
  </si>
  <si>
    <t>FBA15LPZ3FRX</t>
  </si>
  <si>
    <t>FBA15LPZ3FRX,FBA15LPZ1KW2,FBA15LPYLB5T</t>
  </si>
  <si>
    <t>360.00</t>
  </si>
  <si>
    <t>37</t>
  </si>
  <si>
    <t>NJHL2604046129</t>
  </si>
  <si>
    <t>2026-04-25 19:13:10</t>
  </si>
  <si>
    <t>FBA15LPZ2F6V</t>
  </si>
  <si>
    <t>FBA15LPZ2F6V,FBA15LPZ47T1,FBA15LPYZY63</t>
  </si>
  <si>
    <t>55.000</t>
  </si>
  <si>
    <t>269.50</t>
  </si>
  <si>
    <t>38</t>
  </si>
  <si>
    <t>NJZK2604045606</t>
  </si>
  <si>
    <t>2026-04-25 19:15:31</t>
  </si>
  <si>
    <t>FBA15LPYDH0P</t>
  </si>
  <si>
    <t>39</t>
  </si>
  <si>
    <t>NJZK2604055242</t>
  </si>
  <si>
    <t>2026-04-30 22:52:47</t>
  </si>
  <si>
    <t>FBA15LQN4Q73</t>
  </si>
  <si>
    <t>FBA15LQN4Q73,FBA15LQN51S6,FBA15LQNDQM3,FBA15LQNBR0F</t>
  </si>
  <si>
    <t>BER8-IXD1</t>
  </si>
  <si>
    <t>12529</t>
  </si>
  <si>
    <t>206.000</t>
  </si>
  <si>
    <t>2575.00</t>
  </si>
  <si>
    <t>已入仓</t>
  </si>
  <si>
    <t>40</t>
  </si>
  <si>
    <t>NJZK2604055249</t>
  </si>
  <si>
    <t>2026-04-30 22:52:58</t>
  </si>
  <si>
    <t>FBA15LQN5FZ8</t>
  </si>
  <si>
    <t>41</t>
  </si>
  <si>
    <t>NJZK2604055252</t>
  </si>
  <si>
    <t>2026-04-30 22:53:08</t>
  </si>
  <si>
    <t>FBA15LQNSJ7Y</t>
  </si>
  <si>
    <t>FBA15LQNSJ7Y,FBA15LQN0DCF</t>
  </si>
  <si>
    <t>47.000</t>
  </si>
  <si>
    <t>42</t>
  </si>
  <si>
    <t>587.50</t>
  </si>
  <si>
    <t>43</t>
  </si>
  <si>
    <t>NJZK2604055243</t>
  </si>
  <si>
    <t>2026-04-30 22:53:52</t>
  </si>
  <si>
    <t>FBA15LQN6Q7P</t>
  </si>
  <si>
    <t>00340434791772622568</t>
  </si>
  <si>
    <t>FBA15LQN6Q7P,FBA15LQNH87J</t>
  </si>
  <si>
    <t>33.000</t>
  </si>
  <si>
    <t>14.0000</t>
  </si>
  <si>
    <t>462.00</t>
  </si>
  <si>
    <t>44</t>
  </si>
  <si>
    <t>NJHL2604055248</t>
  </si>
  <si>
    <t>2026-04-30 22:54:03</t>
  </si>
  <si>
    <t>FBA15LQNY1GD</t>
  </si>
  <si>
    <t>FBA15LQNY1GD,FBA15LQNHKNS</t>
  </si>
  <si>
    <t>27.000</t>
  </si>
  <si>
    <t>45</t>
  </si>
  <si>
    <t>132.30</t>
  </si>
  <si>
    <t>46</t>
  </si>
  <si>
    <t>NJHL2604055250</t>
  </si>
  <si>
    <t>2026-04-30 22:54:13</t>
  </si>
  <si>
    <t>FBA15LQNKSWL</t>
  </si>
  <si>
    <t>FBA15LQNKSWL,FBA15LQNH16G</t>
  </si>
  <si>
    <t>125.000</t>
  </si>
  <si>
    <t>47</t>
  </si>
  <si>
    <t>650.00</t>
  </si>
  <si>
    <t>48</t>
  </si>
  <si>
    <t>NJZK2604055246</t>
  </si>
  <si>
    <t>2026-04-30 22:54:57</t>
  </si>
  <si>
    <t>FBA15LQNGG4G</t>
  </si>
  <si>
    <t>49</t>
  </si>
  <si>
    <t>NJZK2604055251</t>
  </si>
  <si>
    <t>2026-04-30 22:55:08</t>
  </si>
  <si>
    <t>FBA15LQMXLPB</t>
  </si>
  <si>
    <t>FBA15LQMXLPB,FBA15LQNNSR9,FBA15LQNKVZR</t>
  </si>
  <si>
    <t>88.000</t>
  </si>
  <si>
    <t>1100.00</t>
  </si>
  <si>
    <t>CNY合计</t>
  </si>
  <si>
    <t>38395.40</t>
  </si>
  <si>
    <t>折合人民币合计</t>
  </si>
  <si>
    <t>尊敬的客户:</t>
  </si>
  <si>
    <t>请贵司收到以上账单后及时核对好后回复并于账期内安排清款（如贵司超账期未回复则默认确认账单），安排款项后请及时提供付款水单，如未及时付款而导致货物不能及时中转而延误的，我司概不负责，谢谢谅解与支持!</t>
  </si>
  <si>
    <t>烦请将以上款项支付到我司指定账户上，具体账户如下所示，未经我司盖章的收款账户变更通知一律无效，如付款到非我司如下指定账户视为未付款产生的损失我司概不负责！</t>
  </si>
  <si>
    <t>请付款后水单截图发送到走货沟通群里并@我司应收财务人员查收款项到账情况，多谢合作！</t>
  </si>
  <si>
    <t>如我司有漏出账单或账单有误，我司保留追数权！</t>
  </si>
  <si>
    <t>收款账户1：</t>
  </si>
  <si>
    <t>公司名称：合肥美通供应链有限公司</t>
  </si>
  <si>
    <t>开户银行：中国工行合肥蜀山支行</t>
  </si>
  <si>
    <t>账  号：1302222409200335027  -  CNY</t>
  </si>
  <si>
    <t>备注：</t>
  </si>
  <si>
    <t>收款账户2：</t>
  </si>
  <si>
    <t>开户银行：支付宝</t>
  </si>
  <si>
    <t>账  号：hefeimeitong@szaaf.com  -  CNY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</si>
</sst>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yyyy/m/d;@"/>
    <numFmt numFmtId="178" formatCode="0.00_ "/>
    <numFmt numFmtId="179" formatCode="yyyy&quot;年&quot;m&quot;月&quot;d&quot;日&quot;;@"/>
  </numFmts>
  <fonts count="42">
    <font>
      <sz val="11"/>
      <color indexed="8"/>
      <name val="宋体"/>
      <charset val="134"/>
      <scheme val="minor"/>
    </font>
    <font>
      <b/>
      <sz val="18"/>
      <color rgb="FF000000"/>
      <name val="微软雅黑"/>
      <charset val="134"/>
    </font>
    <font>
      <b/>
      <sz val="12"/>
      <color rgb="FF000000"/>
      <name val="微软雅黑"/>
      <charset val="134"/>
    </font>
    <font>
      <sz val="10"/>
      <color rgb="FF000000"/>
      <name val="Microsoft YaHei"/>
      <charset val="134"/>
    </font>
    <font>
      <sz val="10"/>
      <color rgb="FF000000"/>
      <name val="微软雅黑"/>
      <charset val="134"/>
    </font>
    <font>
      <b/>
      <sz val="14"/>
      <color rgb="FFFF0000"/>
      <name val="微软雅黑"/>
      <charset val="134"/>
    </font>
    <font>
      <sz val="18"/>
      <color rgb="FFFF0000"/>
      <name val="微软雅黑"/>
      <charset val="134"/>
    </font>
    <font>
      <b/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8"/>
      <name val="宋体"/>
      <charset val="134"/>
    </font>
    <font>
      <b/>
      <sz val="8"/>
      <color rgb="FFFF0000"/>
      <name val="宋体"/>
      <charset val="134"/>
    </font>
    <font>
      <b/>
      <sz val="8"/>
      <color theme="4" tint="-0.249977111117893"/>
      <name val="宋体"/>
      <charset val="134"/>
      <scheme val="minor"/>
    </font>
    <font>
      <b/>
      <sz val="8"/>
      <color indexed="8"/>
      <name val="宋体"/>
      <charset val="134"/>
    </font>
    <font>
      <b/>
      <sz val="11"/>
      <name val="宋体"/>
      <charset val="134"/>
    </font>
    <font>
      <b/>
      <sz val="11"/>
      <color indexed="8"/>
      <name val="宋体"/>
      <charset val="134"/>
    </font>
    <font>
      <b/>
      <sz val="9"/>
      <name val="宋体"/>
      <charset val="134"/>
    </font>
    <font>
      <b/>
      <sz val="12"/>
      <color rgb="FFFF0000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7030A0"/>
      </top>
      <bottom style="thin">
        <color auto="1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4" borderId="17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5" borderId="20" applyNumberFormat="0" applyAlignment="0" applyProtection="0">
      <alignment vertical="center"/>
    </xf>
    <xf numFmtId="0" fontId="30" fillId="6" borderId="21" applyNumberFormat="0" applyAlignment="0" applyProtection="0">
      <alignment vertical="center"/>
    </xf>
    <xf numFmtId="0" fontId="31" fillId="6" borderId="20" applyNumberFormat="0" applyAlignment="0" applyProtection="0">
      <alignment vertical="center"/>
    </xf>
    <xf numFmtId="0" fontId="32" fillId="7" borderId="22" applyNumberFormat="0" applyAlignment="0" applyProtection="0">
      <alignment vertical="center"/>
    </xf>
    <xf numFmtId="0" fontId="33" fillId="0" borderId="23" applyNumberFormat="0" applyFill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8" fillId="0" borderId="0" xfId="0" applyFont="1" applyFill="1" applyBorder="1" applyAlignment="1" applyProtection="1">
      <alignment vertical="center"/>
    </xf>
    <xf numFmtId="0" fontId="9" fillId="0" borderId="0" xfId="0" applyFont="1" applyFill="1" applyBorder="1" applyAlignment="1" applyProtection="1">
      <alignment vertical="center"/>
    </xf>
    <xf numFmtId="0" fontId="10" fillId="0" borderId="0" xfId="0" applyFont="1" applyFill="1" applyBorder="1" applyAlignment="1" applyProtection="1">
      <alignment vertical="center"/>
    </xf>
    <xf numFmtId="177" fontId="8" fillId="0" borderId="0" xfId="0" applyNumberFormat="1" applyFont="1" applyFill="1" applyBorder="1" applyAlignment="1" applyProtection="1">
      <alignment vertical="center"/>
    </xf>
    <xf numFmtId="176" fontId="8" fillId="0" borderId="0" xfId="0" applyNumberFormat="1" applyFont="1" applyFill="1" applyBorder="1" applyAlignment="1" applyProtection="1">
      <alignment vertical="center"/>
    </xf>
    <xf numFmtId="178" fontId="8" fillId="0" borderId="0" xfId="0" applyNumberFormat="1" applyFont="1" applyFill="1" applyBorder="1" applyAlignment="1" applyProtection="1">
      <alignment vertical="center"/>
    </xf>
    <xf numFmtId="177" fontId="11" fillId="0" borderId="0" xfId="0" applyNumberFormat="1" applyFont="1" applyFill="1" applyBorder="1" applyAlignment="1" applyProtection="1">
      <alignment horizontal="center" vertical="center"/>
    </xf>
    <xf numFmtId="0" fontId="11" fillId="0" borderId="0" xfId="0" applyFont="1" applyFill="1" applyBorder="1" applyAlignment="1" applyProtection="1">
      <alignment horizontal="center" vertical="center"/>
    </xf>
    <xf numFmtId="176" fontId="11" fillId="0" borderId="0" xfId="0" applyNumberFormat="1" applyFont="1" applyFill="1" applyBorder="1" applyAlignment="1" applyProtection="1">
      <alignment horizontal="center" vertical="center"/>
    </xf>
    <xf numFmtId="178" fontId="11" fillId="0" borderId="0" xfId="0" applyNumberFormat="1" applyFont="1" applyFill="1" applyBorder="1" applyAlignment="1" applyProtection="1">
      <alignment horizontal="center" vertical="center"/>
    </xf>
    <xf numFmtId="177" fontId="12" fillId="0" borderId="4" xfId="0" applyNumberFormat="1" applyFont="1" applyFill="1" applyBorder="1" applyAlignment="1" applyProtection="1">
      <alignment horizontal="left" vertical="center"/>
    </xf>
    <xf numFmtId="0" fontId="13" fillId="0" borderId="4" xfId="0" applyFont="1" applyFill="1" applyBorder="1" applyAlignment="1" applyProtection="1">
      <alignment horizontal="center" vertical="center"/>
    </xf>
    <xf numFmtId="178" fontId="13" fillId="0" borderId="4" xfId="0" applyNumberFormat="1" applyFont="1" applyFill="1" applyBorder="1" applyAlignment="1" applyProtection="1">
      <alignment horizontal="center" vertical="center"/>
    </xf>
    <xf numFmtId="176" fontId="14" fillId="0" borderId="4" xfId="0" applyNumberFormat="1" applyFont="1" applyFill="1" applyBorder="1" applyAlignment="1" applyProtection="1">
      <alignment horizontal="center" vertical="center"/>
    </xf>
    <xf numFmtId="0" fontId="15" fillId="0" borderId="4" xfId="0" applyFont="1" applyFill="1" applyBorder="1" applyAlignment="1" applyProtection="1">
      <alignment horizontal="center" vertical="center" wrapText="1"/>
    </xf>
    <xf numFmtId="0" fontId="12" fillId="0" borderId="4" xfId="0" applyFont="1" applyFill="1" applyBorder="1" applyAlignment="1" applyProtection="1">
      <alignment horizontal="center" vertical="center"/>
    </xf>
    <xf numFmtId="0" fontId="0" fillId="0" borderId="4" xfId="0" applyFont="1" applyFill="1" applyBorder="1" applyAlignment="1" applyProtection="1">
      <alignment horizontal="center" vertical="center" wrapText="1"/>
    </xf>
    <xf numFmtId="178" fontId="9" fillId="0" borderId="4" xfId="0" applyNumberFormat="1" applyFont="1" applyFill="1" applyBorder="1" applyAlignment="1" applyProtection="1">
      <alignment vertical="center"/>
    </xf>
    <xf numFmtId="176" fontId="12" fillId="0" borderId="4" xfId="0" applyNumberFormat="1" applyFont="1" applyFill="1" applyBorder="1" applyAlignment="1" applyProtection="1">
      <alignment horizontal="center" vertical="center"/>
    </xf>
    <xf numFmtId="177" fontId="16" fillId="0" borderId="0" xfId="0" applyNumberFormat="1" applyFont="1" applyFill="1" applyBorder="1" applyAlignment="1" applyProtection="1">
      <alignment horizontal="center" vertical="center"/>
    </xf>
    <xf numFmtId="0" fontId="16" fillId="0" borderId="0" xfId="0" applyFont="1" applyFill="1" applyBorder="1" applyAlignment="1" applyProtection="1">
      <alignment horizontal="center" vertical="center"/>
    </xf>
    <xf numFmtId="178" fontId="16" fillId="0" borderId="0" xfId="0" applyNumberFormat="1" applyFont="1" applyFill="1" applyBorder="1" applyAlignment="1" applyProtection="1">
      <alignment horizontal="center" vertical="center"/>
    </xf>
    <xf numFmtId="176" fontId="17" fillId="0" borderId="0" xfId="0" applyNumberFormat="1" applyFont="1" applyFill="1" applyBorder="1" applyAlignment="1" applyProtection="1">
      <alignment horizontal="center" vertical="center" wrapText="1"/>
    </xf>
    <xf numFmtId="0" fontId="18" fillId="0" borderId="0" xfId="0" applyFont="1" applyFill="1" applyBorder="1" applyAlignment="1" applyProtection="1">
      <alignment horizontal="center" vertical="center"/>
    </xf>
    <xf numFmtId="177" fontId="18" fillId="0" borderId="0" xfId="0" applyNumberFormat="1" applyFont="1" applyFill="1" applyBorder="1" applyAlignment="1" applyProtection="1">
      <alignment horizontal="center" vertical="center"/>
    </xf>
    <xf numFmtId="178" fontId="10" fillId="0" borderId="0" xfId="0" applyNumberFormat="1" applyFont="1" applyFill="1" applyBorder="1" applyAlignment="1" applyProtection="1">
      <alignment vertical="center"/>
    </xf>
    <xf numFmtId="176" fontId="18" fillId="0" borderId="0" xfId="0" applyNumberFormat="1" applyFont="1" applyFill="1" applyBorder="1" applyAlignment="1" applyProtection="1">
      <alignment horizontal="center" vertical="center"/>
    </xf>
    <xf numFmtId="177" fontId="10" fillId="0" borderId="4" xfId="0" applyNumberFormat="1" applyFont="1" applyFill="1" applyBorder="1" applyAlignment="1" applyProtection="1">
      <alignment horizontal="center" vertical="center"/>
    </xf>
    <xf numFmtId="0" fontId="10" fillId="0" borderId="4" xfId="0" applyFont="1" applyFill="1" applyBorder="1" applyAlignment="1" applyProtection="1">
      <alignment horizontal="center" vertical="center"/>
    </xf>
    <xf numFmtId="176" fontId="10" fillId="0" borderId="4" xfId="0" applyNumberFormat="1" applyFont="1" applyFill="1" applyBorder="1" applyAlignment="1" applyProtection="1">
      <alignment horizontal="center" vertical="center"/>
    </xf>
    <xf numFmtId="178" fontId="10" fillId="0" borderId="4" xfId="0" applyNumberFormat="1" applyFont="1" applyFill="1" applyBorder="1" applyAlignment="1" applyProtection="1">
      <alignment horizontal="center" vertical="center"/>
    </xf>
    <xf numFmtId="0" fontId="10" fillId="2" borderId="4" xfId="0" applyFont="1" applyFill="1" applyBorder="1" applyAlignment="1" applyProtection="1">
      <alignment horizontal="center" vertical="center" wrapText="1"/>
    </xf>
    <xf numFmtId="178" fontId="10" fillId="0" borderId="4" xfId="0" applyNumberFormat="1" applyFont="1" applyFill="1" applyBorder="1" applyAlignment="1" applyProtection="1">
      <alignment horizontal="center" vertical="center" wrapText="1"/>
    </xf>
    <xf numFmtId="0" fontId="10" fillId="0" borderId="4" xfId="0" applyFont="1" applyFill="1" applyBorder="1" applyAlignment="1" applyProtection="1">
      <alignment vertical="center" wrapText="1"/>
    </xf>
    <xf numFmtId="178" fontId="19" fillId="2" borderId="4" xfId="0" applyNumberFormat="1" applyFont="1" applyFill="1" applyBorder="1" applyAlignment="1" applyProtection="1">
      <alignment horizontal="center" vertical="center"/>
    </xf>
    <xf numFmtId="177" fontId="8" fillId="0" borderId="4" xfId="0" applyNumberFormat="1" applyFont="1" applyFill="1" applyBorder="1" applyAlignment="1" applyProtection="1">
      <alignment horizontal="center" vertical="center"/>
    </xf>
    <xf numFmtId="0" fontId="8" fillId="0" borderId="4" xfId="0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178" fontId="8" fillId="0" borderId="5" xfId="0" applyNumberFormat="1" applyFont="1" applyFill="1" applyBorder="1" applyAlignment="1" applyProtection="1">
      <alignment horizontal="center" vertical="center"/>
    </xf>
    <xf numFmtId="177" fontId="8" fillId="0" borderId="6" xfId="0" applyNumberFormat="1" applyFont="1" applyFill="1" applyBorder="1" applyAlignment="1" applyProtection="1">
      <alignment horizontal="center" vertical="center"/>
    </xf>
    <xf numFmtId="178" fontId="8" fillId="0" borderId="7" xfId="0" applyNumberFormat="1" applyFont="1" applyFill="1" applyBorder="1" applyAlignment="1" applyProtection="1">
      <alignment horizontal="center" vertical="center"/>
    </xf>
    <xf numFmtId="0" fontId="8" fillId="0" borderId="8" xfId="0" applyFont="1" applyFill="1" applyBorder="1" applyAlignment="1" applyProtection="1">
      <alignment horizontal="center" vertical="center"/>
    </xf>
    <xf numFmtId="178" fontId="8" fillId="0" borderId="4" xfId="0" applyNumberFormat="1" applyFont="1" applyFill="1" applyBorder="1" applyAlignment="1" applyProtection="1">
      <alignment horizontal="center" vertical="center"/>
    </xf>
    <xf numFmtId="0" fontId="8" fillId="0" borderId="4" xfId="0" applyFont="1" applyFill="1" applyBorder="1" applyAlignment="1" applyProtection="1">
      <alignment vertical="center"/>
    </xf>
    <xf numFmtId="178" fontId="8" fillId="0" borderId="4" xfId="0" applyNumberFormat="1" applyFont="1" applyFill="1" applyBorder="1" applyAlignment="1" applyProtection="1">
      <alignment vertical="center"/>
    </xf>
    <xf numFmtId="176" fontId="8" fillId="0" borderId="4" xfId="0" applyNumberFormat="1" applyFont="1" applyFill="1" applyBorder="1" applyAlignment="1" applyProtection="1">
      <alignment horizontal="center" vertical="center"/>
    </xf>
    <xf numFmtId="0" fontId="8" fillId="0" borderId="9" xfId="0" applyFont="1" applyFill="1" applyBorder="1" applyAlignment="1" applyProtection="1">
      <alignment horizontal="center" vertical="center"/>
    </xf>
    <xf numFmtId="176" fontId="8" fillId="0" borderId="10" xfId="0" applyNumberFormat="1" applyFont="1" applyFill="1" applyBorder="1" applyAlignment="1" applyProtection="1">
      <alignment horizontal="center" vertical="center"/>
    </xf>
    <xf numFmtId="0" fontId="8" fillId="0" borderId="11" xfId="0" applyFont="1" applyFill="1" applyBorder="1" applyAlignment="1" applyProtection="1">
      <alignment horizontal="center" vertical="center"/>
    </xf>
    <xf numFmtId="177" fontId="10" fillId="3" borderId="5" xfId="0" applyNumberFormat="1" applyFont="1" applyFill="1" applyBorder="1" applyAlignment="1" applyProtection="1">
      <alignment horizontal="right" vertical="center"/>
    </xf>
    <xf numFmtId="179" fontId="10" fillId="3" borderId="12" xfId="0" applyNumberFormat="1" applyFont="1" applyFill="1" applyBorder="1" applyAlignment="1" applyProtection="1">
      <alignment horizontal="right" vertical="center"/>
    </xf>
    <xf numFmtId="179" fontId="10" fillId="3" borderId="13" xfId="0" applyNumberFormat="1" applyFont="1" applyFill="1" applyBorder="1" applyAlignment="1" applyProtection="1">
      <alignment horizontal="right" vertical="center"/>
    </xf>
    <xf numFmtId="176" fontId="10" fillId="3" borderId="12" xfId="0" applyNumberFormat="1" applyFont="1" applyFill="1" applyBorder="1" applyAlignment="1" applyProtection="1">
      <alignment horizontal="right" vertical="center"/>
    </xf>
    <xf numFmtId="179" fontId="10" fillId="3" borderId="14" xfId="0" applyNumberFormat="1" applyFont="1" applyFill="1" applyBorder="1" applyAlignment="1" applyProtection="1">
      <alignment horizontal="right" vertical="center"/>
    </xf>
    <xf numFmtId="178" fontId="8" fillId="0" borderId="15" xfId="0" applyNumberFormat="1" applyFont="1" applyFill="1" applyBorder="1" applyAlignment="1" applyProtection="1">
      <alignment horizontal="center" vertical="center"/>
    </xf>
    <xf numFmtId="179" fontId="10" fillId="3" borderId="15" xfId="0" applyNumberFormat="1" applyFont="1" applyFill="1" applyBorder="1" applyAlignment="1" applyProtection="1">
      <alignment horizontal="right" vertical="center"/>
    </xf>
    <xf numFmtId="176" fontId="10" fillId="3" borderId="15" xfId="0" applyNumberFormat="1" applyFont="1" applyFill="1" applyBorder="1" applyAlignment="1" applyProtection="1">
      <alignment horizontal="right" vertical="center"/>
    </xf>
    <xf numFmtId="178" fontId="8" fillId="0" borderId="16" xfId="0" applyNumberFormat="1" applyFont="1" applyFill="1" applyBorder="1" applyAlignment="1" applyProtection="1">
      <alignment horizontal="center" vertical="center"/>
    </xf>
    <xf numFmtId="0" fontId="10" fillId="3" borderId="8" xfId="0" applyFont="1" applyFill="1" applyBorder="1" applyAlignment="1" applyProtection="1">
      <alignment horizontal="center" vertical="center"/>
    </xf>
    <xf numFmtId="178" fontId="20" fillId="0" borderId="4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2"/>
  <sheetViews>
    <sheetView workbookViewId="0">
      <selection activeCell="C13" sqref="C13"/>
    </sheetView>
  </sheetViews>
  <sheetFormatPr defaultColWidth="9" defaultRowHeight="13.5"/>
  <cols>
    <col min="1" max="1" width="18.25" style="22" customWidth="1"/>
    <col min="2" max="2" width="18.225" style="19" customWidth="1"/>
    <col min="3" max="3" width="9" style="19"/>
    <col min="4" max="4" width="13.6666666666667" style="23" customWidth="1"/>
    <col min="5" max="5" width="8.44166666666667" style="19" customWidth="1"/>
    <col min="6" max="6" width="15.1083333333333" style="24" customWidth="1"/>
    <col min="7" max="7" width="10.5" style="22" customWidth="1"/>
    <col min="8" max="8" width="9" style="19"/>
    <col min="9" max="9" width="10.625" style="23"/>
    <col min="10" max="10" width="9" style="19"/>
    <col min="11" max="11" width="11.8916666666667" style="24" customWidth="1"/>
    <col min="12" max="12" width="10.3333333333333" style="19" customWidth="1"/>
    <col min="13" max="13" width="18.8916666666667" style="24" customWidth="1"/>
    <col min="14" max="14" width="28.075" style="19" customWidth="1"/>
    <col min="15" max="15" width="7.775" style="19" customWidth="1"/>
    <col min="16" max="16" width="14.1083333333333" style="19" customWidth="1"/>
    <col min="17" max="16384" width="9" style="19"/>
  </cols>
  <sheetData>
    <row r="1" s="19" customFormat="1" ht="40" customHeight="1" spans="1:16">
      <c r="A1" s="25" t="s">
        <v>0</v>
      </c>
      <c r="B1" s="26"/>
      <c r="C1" s="26"/>
      <c r="D1" s="27"/>
      <c r="E1" s="26"/>
      <c r="F1" s="28"/>
      <c r="G1" s="25"/>
      <c r="H1" s="26"/>
      <c r="I1" s="27"/>
      <c r="J1" s="26"/>
      <c r="K1" s="28"/>
      <c r="L1" s="26"/>
      <c r="M1" s="28"/>
      <c r="N1" s="26"/>
    </row>
    <row r="2" s="19" customFormat="1" ht="13" customHeight="1" spans="1:16">
      <c r="A2" s="25"/>
      <c r="B2" s="26"/>
      <c r="C2" s="26"/>
      <c r="D2" s="23"/>
      <c r="E2" s="26"/>
      <c r="F2" s="28"/>
      <c r="G2" s="25"/>
      <c r="H2" s="26"/>
      <c r="I2" s="27"/>
      <c r="J2" s="26"/>
      <c r="K2" s="28"/>
      <c r="L2" s="26"/>
      <c r="M2" s="28"/>
      <c r="N2" s="26"/>
    </row>
    <row r="3" s="20" customFormat="1" ht="24" customHeight="1" spans="1:16">
      <c r="A3" s="29" t="s">
        <v>1</v>
      </c>
      <c r="B3" s="30" t="s">
        <v>2</v>
      </c>
      <c r="C3" s="31"/>
      <c r="D3" s="32" t="s">
        <v>3</v>
      </c>
      <c r="E3" s="33" t="s">
        <v>4</v>
      </c>
      <c r="F3" s="34" t="s">
        <v>5</v>
      </c>
      <c r="G3" s="35" t="s">
        <v>6</v>
      </c>
      <c r="H3" s="36"/>
      <c r="I3" s="37" t="s">
        <v>7</v>
      </c>
      <c r="J3" s="33" t="s">
        <v>8</v>
      </c>
      <c r="K3" s="36"/>
      <c r="L3" s="34" t="s">
        <v>9</v>
      </c>
      <c r="M3" s="30" t="s">
        <v>10</v>
      </c>
    </row>
    <row r="4" s="21" customFormat="1" ht="19" customHeight="1" spans="1:16">
      <c r="A4" s="38"/>
      <c r="B4" s="39"/>
      <c r="C4" s="40"/>
      <c r="D4" s="41"/>
      <c r="E4" s="42"/>
      <c r="F4" s="42"/>
      <c r="G4" s="43"/>
      <c r="H4" s="44"/>
      <c r="I4" s="45"/>
      <c r="J4" s="42"/>
      <c r="K4" s="44"/>
      <c r="L4" s="42"/>
      <c r="M4" s="42"/>
    </row>
    <row r="5" s="19" customFormat="1" ht="40.5" spans="1:16">
      <c r="A5" s="46" t="s">
        <v>11</v>
      </c>
      <c r="B5" s="47" t="s">
        <v>12</v>
      </c>
      <c r="C5" s="47" t="s">
        <v>13</v>
      </c>
      <c r="D5" s="48" t="s">
        <v>14</v>
      </c>
      <c r="E5" s="47" t="s">
        <v>15</v>
      </c>
      <c r="F5" s="49" t="s">
        <v>16</v>
      </c>
      <c r="G5" s="46" t="s">
        <v>17</v>
      </c>
      <c r="H5" s="47" t="s">
        <v>13</v>
      </c>
      <c r="I5" s="48" t="s">
        <v>18</v>
      </c>
      <c r="J5" s="47" t="s">
        <v>15</v>
      </c>
      <c r="K5" s="49" t="s">
        <v>16</v>
      </c>
      <c r="L5" s="50" t="s">
        <v>19</v>
      </c>
      <c r="M5" s="51" t="s">
        <v>20</v>
      </c>
      <c r="N5" s="47" t="s">
        <v>21</v>
      </c>
      <c r="O5" s="52" t="s">
        <v>22</v>
      </c>
      <c r="P5" s="53" t="s">
        <v>23</v>
      </c>
    </row>
    <row r="6" s="19" customFormat="1" ht="18" customHeight="1" spans="1:16">
      <c r="A6" s="54" t="s">
        <v>24</v>
      </c>
      <c r="B6" s="55" t="s">
        <v>25</v>
      </c>
      <c r="C6" s="55" t="s">
        <v>26</v>
      </c>
      <c r="D6" s="56">
        <v>38295.4</v>
      </c>
      <c r="E6" s="55">
        <v>1</v>
      </c>
      <c r="F6" s="57">
        <f t="shared" ref="F6:F31" si="0">D6*E6</f>
        <v>38295.4</v>
      </c>
      <c r="G6" s="58"/>
      <c r="H6" s="55"/>
      <c r="I6" s="56"/>
      <c r="J6" s="55"/>
      <c r="K6" s="59">
        <f t="shared" ref="K6:K31" si="1">I6*J6</f>
        <v>0</v>
      </c>
      <c r="L6" s="60"/>
      <c r="M6" s="61">
        <f>F6-K6-L6</f>
        <v>38295.4</v>
      </c>
      <c r="N6" s="55"/>
      <c r="O6" s="62"/>
      <c r="P6" s="63" t="s">
        <v>27</v>
      </c>
    </row>
    <row r="7" s="19" customFormat="1" ht="18" customHeight="1" spans="1:16">
      <c r="A7" s="54" t="s">
        <v>24</v>
      </c>
      <c r="B7" s="55"/>
      <c r="C7" s="55"/>
      <c r="D7" s="56"/>
      <c r="E7" s="55"/>
      <c r="F7" s="57">
        <f t="shared" si="0"/>
        <v>0</v>
      </c>
      <c r="G7" s="58"/>
      <c r="H7" s="55"/>
      <c r="I7" s="64"/>
      <c r="J7" s="55"/>
      <c r="K7" s="59">
        <f t="shared" si="1"/>
        <v>0</v>
      </c>
      <c r="L7" s="60"/>
      <c r="M7" s="61">
        <f t="shared" ref="M7:M31" si="2">M6+F7-K7-L7</f>
        <v>38295.4</v>
      </c>
      <c r="N7" s="55"/>
      <c r="O7" s="62"/>
      <c r="P7" s="63"/>
    </row>
    <row r="8" s="19" customFormat="1" ht="18" customHeight="1" spans="1:16">
      <c r="A8" s="54"/>
      <c r="B8" s="55"/>
      <c r="C8" s="55"/>
      <c r="D8" s="64"/>
      <c r="E8" s="55"/>
      <c r="F8" s="57">
        <f t="shared" si="0"/>
        <v>0</v>
      </c>
      <c r="G8" s="58"/>
      <c r="H8" s="55"/>
      <c r="I8" s="64"/>
      <c r="J8" s="55"/>
      <c r="K8" s="59">
        <f t="shared" si="1"/>
        <v>0</v>
      </c>
      <c r="L8" s="60"/>
      <c r="M8" s="61">
        <f t="shared" si="2"/>
        <v>38295.4</v>
      </c>
      <c r="N8" s="55"/>
      <c r="O8" s="62"/>
      <c r="P8" s="62"/>
    </row>
    <row r="9" s="19" customFormat="1" ht="18" customHeight="1" spans="1:16">
      <c r="A9" s="54"/>
      <c r="B9" s="55"/>
      <c r="C9" s="55"/>
      <c r="D9" s="64"/>
      <c r="E9" s="55"/>
      <c r="F9" s="57">
        <f t="shared" si="0"/>
        <v>0</v>
      </c>
      <c r="G9" s="58"/>
      <c r="H9" s="55"/>
      <c r="I9" s="64"/>
      <c r="J9" s="55"/>
      <c r="K9" s="59">
        <f t="shared" si="1"/>
        <v>0</v>
      </c>
      <c r="L9" s="60"/>
      <c r="M9" s="61">
        <f t="shared" si="2"/>
        <v>38295.4</v>
      </c>
      <c r="N9" s="55"/>
      <c r="O9" s="62"/>
      <c r="P9" s="62"/>
    </row>
    <row r="10" s="19" customFormat="1" ht="18" customHeight="1" spans="1:16">
      <c r="A10" s="54"/>
      <c r="B10" s="55"/>
      <c r="C10" s="55"/>
      <c r="D10" s="64"/>
      <c r="E10" s="55"/>
      <c r="F10" s="57">
        <f t="shared" si="0"/>
        <v>0</v>
      </c>
      <c r="G10" s="58"/>
      <c r="H10" s="55"/>
      <c r="I10" s="64"/>
      <c r="J10" s="55"/>
      <c r="K10" s="59">
        <f t="shared" si="1"/>
        <v>0</v>
      </c>
      <c r="L10" s="60"/>
      <c r="M10" s="61">
        <f t="shared" si="2"/>
        <v>38295.4</v>
      </c>
      <c r="N10" s="55"/>
      <c r="O10" s="62"/>
      <c r="P10" s="62"/>
    </row>
    <row r="11" s="19" customFormat="1" ht="18" customHeight="1" spans="1:16">
      <c r="A11" s="54"/>
      <c r="B11" s="55"/>
      <c r="C11" s="55"/>
      <c r="D11" s="64"/>
      <c r="E11" s="55"/>
      <c r="F11" s="57">
        <f t="shared" si="0"/>
        <v>0</v>
      </c>
      <c r="G11" s="58"/>
      <c r="H11" s="55"/>
      <c r="I11" s="64"/>
      <c r="J11" s="55"/>
      <c r="K11" s="59">
        <f t="shared" si="1"/>
        <v>0</v>
      </c>
      <c r="L11" s="60"/>
      <c r="M11" s="61">
        <f t="shared" si="2"/>
        <v>38295.4</v>
      </c>
      <c r="N11" s="55"/>
      <c r="O11" s="62"/>
      <c r="P11" s="62"/>
    </row>
    <row r="12" s="19" customFormat="1" ht="18" customHeight="1" spans="1:16">
      <c r="A12" s="54"/>
      <c r="B12" s="55"/>
      <c r="C12" s="55"/>
      <c r="D12" s="64"/>
      <c r="E12" s="55"/>
      <c r="F12" s="57">
        <f t="shared" si="0"/>
        <v>0</v>
      </c>
      <c r="G12" s="58"/>
      <c r="H12" s="55"/>
      <c r="I12" s="64"/>
      <c r="J12" s="55"/>
      <c r="K12" s="59">
        <f t="shared" si="1"/>
        <v>0</v>
      </c>
      <c r="L12" s="60"/>
      <c r="M12" s="61">
        <f t="shared" si="2"/>
        <v>38295.4</v>
      </c>
      <c r="N12" s="55"/>
      <c r="O12" s="62"/>
      <c r="P12" s="62"/>
    </row>
    <row r="13" s="19" customFormat="1" ht="18" customHeight="1" spans="1:16">
      <c r="A13" s="54"/>
      <c r="B13" s="55"/>
      <c r="C13" s="55"/>
      <c r="D13" s="64"/>
      <c r="E13" s="55"/>
      <c r="F13" s="57">
        <f t="shared" si="0"/>
        <v>0</v>
      </c>
      <c r="G13" s="58"/>
      <c r="H13" s="55"/>
      <c r="I13" s="64"/>
      <c r="J13" s="55"/>
      <c r="K13" s="59">
        <f t="shared" si="1"/>
        <v>0</v>
      </c>
      <c r="L13" s="60"/>
      <c r="M13" s="61">
        <f t="shared" si="2"/>
        <v>38295.4</v>
      </c>
      <c r="N13" s="55"/>
      <c r="O13" s="62"/>
      <c r="P13" s="62"/>
    </row>
    <row r="14" s="19" customFormat="1" ht="18" customHeight="1" spans="1:16">
      <c r="A14" s="54"/>
      <c r="B14" s="55"/>
      <c r="C14" s="55"/>
      <c r="D14" s="64"/>
      <c r="E14" s="55"/>
      <c r="F14" s="57">
        <f t="shared" si="0"/>
        <v>0</v>
      </c>
      <c r="G14" s="58"/>
      <c r="H14" s="55"/>
      <c r="I14" s="64"/>
      <c r="J14" s="55"/>
      <c r="K14" s="59">
        <f t="shared" si="1"/>
        <v>0</v>
      </c>
      <c r="L14" s="60"/>
      <c r="M14" s="61">
        <f t="shared" si="2"/>
        <v>38295.4</v>
      </c>
      <c r="N14" s="55"/>
      <c r="O14" s="62"/>
      <c r="P14" s="62"/>
    </row>
    <row r="15" s="19" customFormat="1" ht="18" customHeight="1" spans="1:16">
      <c r="A15" s="54"/>
      <c r="B15" s="55"/>
      <c r="C15" s="55"/>
      <c r="D15" s="64"/>
      <c r="E15" s="55"/>
      <c r="F15" s="57">
        <f t="shared" si="0"/>
        <v>0</v>
      </c>
      <c r="G15" s="58"/>
      <c r="H15" s="55"/>
      <c r="I15" s="64"/>
      <c r="J15" s="55"/>
      <c r="K15" s="59">
        <f t="shared" si="1"/>
        <v>0</v>
      </c>
      <c r="L15" s="60"/>
      <c r="M15" s="61">
        <f t="shared" si="2"/>
        <v>38295.4</v>
      </c>
      <c r="N15" s="55"/>
      <c r="O15" s="62"/>
      <c r="P15" s="62"/>
    </row>
    <row r="16" s="19" customFormat="1" ht="18" customHeight="1" spans="1:16">
      <c r="A16" s="54"/>
      <c r="B16" s="55"/>
      <c r="C16" s="55"/>
      <c r="D16" s="64"/>
      <c r="E16" s="55"/>
      <c r="F16" s="57">
        <f t="shared" si="0"/>
        <v>0</v>
      </c>
      <c r="G16" s="58"/>
      <c r="H16" s="55"/>
      <c r="I16" s="64"/>
      <c r="J16" s="55"/>
      <c r="K16" s="59">
        <f t="shared" si="1"/>
        <v>0</v>
      </c>
      <c r="L16" s="60"/>
      <c r="M16" s="61">
        <f t="shared" si="2"/>
        <v>38295.4</v>
      </c>
      <c r="N16" s="55"/>
      <c r="O16" s="62"/>
      <c r="P16" s="62"/>
    </row>
    <row r="17" s="19" customFormat="1" ht="18" customHeight="1" spans="1:16">
      <c r="A17" s="54"/>
      <c r="B17" s="55"/>
      <c r="C17" s="55"/>
      <c r="D17" s="64"/>
      <c r="E17" s="55"/>
      <c r="F17" s="57">
        <f t="shared" si="0"/>
        <v>0</v>
      </c>
      <c r="G17" s="58"/>
      <c r="H17" s="55"/>
      <c r="I17" s="64"/>
      <c r="J17" s="55"/>
      <c r="K17" s="59">
        <f t="shared" si="1"/>
        <v>0</v>
      </c>
      <c r="L17" s="60"/>
      <c r="M17" s="61">
        <f t="shared" si="2"/>
        <v>38295.4</v>
      </c>
      <c r="N17" s="55"/>
      <c r="O17" s="62"/>
      <c r="P17" s="62"/>
    </row>
    <row r="18" s="19" customFormat="1" ht="18" customHeight="1" spans="1:16">
      <c r="A18" s="54"/>
      <c r="B18" s="55"/>
      <c r="C18" s="55"/>
      <c r="D18" s="64"/>
      <c r="E18" s="55"/>
      <c r="F18" s="57">
        <f t="shared" si="0"/>
        <v>0</v>
      </c>
      <c r="G18" s="58"/>
      <c r="H18" s="55"/>
      <c r="I18" s="64"/>
      <c r="J18" s="55"/>
      <c r="K18" s="59">
        <f t="shared" si="1"/>
        <v>0</v>
      </c>
      <c r="L18" s="60"/>
      <c r="M18" s="61">
        <f t="shared" si="2"/>
        <v>38295.4</v>
      </c>
      <c r="N18" s="55"/>
      <c r="O18" s="62"/>
      <c r="P18" s="62"/>
    </row>
    <row r="19" s="19" customFormat="1" ht="18" customHeight="1" spans="1:16">
      <c r="A19" s="54"/>
      <c r="B19" s="55"/>
      <c r="C19" s="55"/>
      <c r="D19" s="64"/>
      <c r="E19" s="55"/>
      <c r="F19" s="57">
        <f t="shared" si="0"/>
        <v>0</v>
      </c>
      <c r="G19" s="58"/>
      <c r="H19" s="55"/>
      <c r="I19" s="64"/>
      <c r="J19" s="55"/>
      <c r="K19" s="59">
        <f t="shared" si="1"/>
        <v>0</v>
      </c>
      <c r="L19" s="60"/>
      <c r="M19" s="61">
        <f t="shared" si="2"/>
        <v>38295.4</v>
      </c>
      <c r="N19" s="55"/>
      <c r="O19" s="62"/>
      <c r="P19" s="62"/>
    </row>
    <row r="20" s="19" customFormat="1" ht="18" customHeight="1" spans="1:16">
      <c r="A20" s="54"/>
      <c r="B20" s="55"/>
      <c r="C20" s="55"/>
      <c r="D20" s="64"/>
      <c r="E20" s="55"/>
      <c r="F20" s="57">
        <f t="shared" si="0"/>
        <v>0</v>
      </c>
      <c r="G20" s="58"/>
      <c r="H20" s="55"/>
      <c r="I20" s="64"/>
      <c r="J20" s="55"/>
      <c r="K20" s="59">
        <f t="shared" si="1"/>
        <v>0</v>
      </c>
      <c r="L20" s="60"/>
      <c r="M20" s="61">
        <f t="shared" si="2"/>
        <v>38295.4</v>
      </c>
      <c r="N20" s="55"/>
      <c r="O20" s="62"/>
      <c r="P20" s="62"/>
    </row>
    <row r="21" s="19" customFormat="1" ht="18" customHeight="1" spans="1:16">
      <c r="A21" s="54"/>
      <c r="B21" s="55"/>
      <c r="C21" s="55"/>
      <c r="D21" s="64"/>
      <c r="E21" s="55"/>
      <c r="F21" s="57">
        <f t="shared" si="0"/>
        <v>0</v>
      </c>
      <c r="G21" s="58"/>
      <c r="H21" s="55"/>
      <c r="I21" s="64"/>
      <c r="J21" s="55"/>
      <c r="K21" s="59">
        <f t="shared" si="1"/>
        <v>0</v>
      </c>
      <c r="L21" s="60"/>
      <c r="M21" s="61">
        <f t="shared" si="2"/>
        <v>38295.4</v>
      </c>
      <c r="N21" s="55"/>
      <c r="O21" s="62"/>
      <c r="P21" s="62"/>
    </row>
    <row r="22" s="19" customFormat="1" ht="18" customHeight="1" spans="1:16">
      <c r="A22" s="54"/>
      <c r="B22" s="55"/>
      <c r="C22" s="55"/>
      <c r="D22" s="64"/>
      <c r="E22" s="55"/>
      <c r="F22" s="57">
        <f t="shared" si="0"/>
        <v>0</v>
      </c>
      <c r="G22" s="58"/>
      <c r="H22" s="55"/>
      <c r="I22" s="64"/>
      <c r="J22" s="55"/>
      <c r="K22" s="59">
        <f t="shared" si="1"/>
        <v>0</v>
      </c>
      <c r="L22" s="60"/>
      <c r="M22" s="61">
        <f t="shared" si="2"/>
        <v>38295.4</v>
      </c>
      <c r="N22" s="55"/>
      <c r="O22" s="62"/>
      <c r="P22" s="62"/>
    </row>
    <row r="23" s="19" customFormat="1" ht="18" customHeight="1" spans="1:16">
      <c r="A23" s="54"/>
      <c r="B23" s="55"/>
      <c r="C23" s="55"/>
      <c r="D23" s="64"/>
      <c r="E23" s="55"/>
      <c r="F23" s="57">
        <f t="shared" si="0"/>
        <v>0</v>
      </c>
      <c r="G23" s="58"/>
      <c r="H23" s="55"/>
      <c r="I23" s="64"/>
      <c r="J23" s="55"/>
      <c r="K23" s="59">
        <f t="shared" si="1"/>
        <v>0</v>
      </c>
      <c r="L23" s="60"/>
      <c r="M23" s="61">
        <f t="shared" si="2"/>
        <v>38295.4</v>
      </c>
      <c r="N23" s="55"/>
      <c r="O23" s="62"/>
      <c r="P23" s="62"/>
    </row>
    <row r="24" s="19" customFormat="1" ht="18" customHeight="1" spans="1:16">
      <c r="A24" s="54"/>
      <c r="B24" s="55"/>
      <c r="C24" s="55"/>
      <c r="D24" s="64"/>
      <c r="E24" s="55"/>
      <c r="F24" s="57">
        <f t="shared" si="0"/>
        <v>0</v>
      </c>
      <c r="G24" s="58"/>
      <c r="H24" s="55"/>
      <c r="I24" s="64"/>
      <c r="J24" s="55"/>
      <c r="K24" s="59">
        <f t="shared" si="1"/>
        <v>0</v>
      </c>
      <c r="L24" s="60"/>
      <c r="M24" s="61">
        <f t="shared" si="2"/>
        <v>38295.4</v>
      </c>
      <c r="N24" s="55"/>
      <c r="O24" s="62"/>
      <c r="P24" s="62"/>
    </row>
    <row r="25" s="19" customFormat="1" ht="18" customHeight="1" spans="1:16">
      <c r="A25" s="54"/>
      <c r="B25" s="55"/>
      <c r="C25" s="55"/>
      <c r="D25" s="64"/>
      <c r="E25" s="55"/>
      <c r="F25" s="57">
        <f t="shared" si="0"/>
        <v>0</v>
      </c>
      <c r="G25" s="58"/>
      <c r="H25" s="55"/>
      <c r="I25" s="64"/>
      <c r="J25" s="55"/>
      <c r="K25" s="59">
        <f t="shared" si="1"/>
        <v>0</v>
      </c>
      <c r="L25" s="60"/>
      <c r="M25" s="61">
        <f t="shared" si="2"/>
        <v>38295.4</v>
      </c>
      <c r="N25" s="55"/>
      <c r="O25" s="62"/>
      <c r="P25" s="62"/>
    </row>
    <row r="26" s="19" customFormat="1" ht="18" customHeight="1" spans="1:16">
      <c r="A26" s="54"/>
      <c r="B26" s="55"/>
      <c r="C26" s="55"/>
      <c r="D26" s="64"/>
      <c r="E26" s="55"/>
      <c r="F26" s="57">
        <f t="shared" si="0"/>
        <v>0</v>
      </c>
      <c r="G26" s="58"/>
      <c r="H26" s="55"/>
      <c r="I26" s="64"/>
      <c r="J26" s="55"/>
      <c r="K26" s="59">
        <f t="shared" si="1"/>
        <v>0</v>
      </c>
      <c r="L26" s="60"/>
      <c r="M26" s="61">
        <f t="shared" si="2"/>
        <v>38295.4</v>
      </c>
      <c r="N26" s="55"/>
      <c r="O26" s="62"/>
      <c r="P26" s="62"/>
    </row>
    <row r="27" s="19" customFormat="1" ht="18" customHeight="1" spans="1:16">
      <c r="A27" s="54"/>
      <c r="B27" s="55"/>
      <c r="C27" s="55"/>
      <c r="D27" s="64"/>
      <c r="E27" s="55"/>
      <c r="F27" s="57">
        <f t="shared" si="0"/>
        <v>0</v>
      </c>
      <c r="G27" s="58"/>
      <c r="H27" s="55"/>
      <c r="I27" s="64"/>
      <c r="J27" s="55"/>
      <c r="K27" s="59">
        <f t="shared" si="1"/>
        <v>0</v>
      </c>
      <c r="L27" s="60"/>
      <c r="M27" s="61">
        <f t="shared" si="2"/>
        <v>38295.4</v>
      </c>
      <c r="N27" s="55"/>
      <c r="O27" s="62"/>
      <c r="P27" s="62"/>
    </row>
    <row r="28" s="19" customFormat="1" ht="18" customHeight="1" spans="1:16">
      <c r="A28" s="54"/>
      <c r="B28" s="55"/>
      <c r="C28" s="55"/>
      <c r="D28" s="64"/>
      <c r="E28" s="55"/>
      <c r="F28" s="57">
        <f t="shared" si="0"/>
        <v>0</v>
      </c>
      <c r="G28" s="58"/>
      <c r="H28" s="55"/>
      <c r="I28" s="64"/>
      <c r="J28" s="55"/>
      <c r="K28" s="59">
        <f t="shared" si="1"/>
        <v>0</v>
      </c>
      <c r="L28" s="60"/>
      <c r="M28" s="61">
        <f t="shared" si="2"/>
        <v>38295.4</v>
      </c>
      <c r="N28" s="55"/>
      <c r="O28" s="62"/>
      <c r="P28" s="62"/>
    </row>
    <row r="29" s="19" customFormat="1" ht="18" customHeight="1" spans="1:16">
      <c r="A29" s="54"/>
      <c r="B29" s="55"/>
      <c r="C29" s="55"/>
      <c r="D29" s="64"/>
      <c r="E29" s="55"/>
      <c r="F29" s="57">
        <f t="shared" si="0"/>
        <v>0</v>
      </c>
      <c r="G29" s="58"/>
      <c r="H29" s="55"/>
      <c r="I29" s="64"/>
      <c r="J29" s="55"/>
      <c r="K29" s="59">
        <f t="shared" si="1"/>
        <v>0</v>
      </c>
      <c r="L29" s="60"/>
      <c r="M29" s="61">
        <f t="shared" si="2"/>
        <v>38295.4</v>
      </c>
      <c r="N29" s="55"/>
      <c r="O29" s="62"/>
      <c r="P29" s="62"/>
    </row>
    <row r="30" s="19" customFormat="1" ht="18" customHeight="1" spans="1:16">
      <c r="A30" s="54"/>
      <c r="B30" s="55"/>
      <c r="C30" s="55"/>
      <c r="D30" s="64"/>
      <c r="E30" s="55"/>
      <c r="F30" s="57">
        <f t="shared" si="0"/>
        <v>0</v>
      </c>
      <c r="G30" s="58"/>
      <c r="H30" s="55"/>
      <c r="I30" s="64"/>
      <c r="J30" s="55"/>
      <c r="K30" s="59">
        <f t="shared" si="1"/>
        <v>0</v>
      </c>
      <c r="L30" s="60"/>
      <c r="M30" s="61">
        <f t="shared" si="2"/>
        <v>38295.4</v>
      </c>
      <c r="N30" s="55"/>
      <c r="O30" s="62"/>
      <c r="P30" s="62"/>
    </row>
    <row r="31" s="19" customFormat="1" ht="18" customHeight="1" spans="1:16">
      <c r="A31" s="54"/>
      <c r="B31" s="65"/>
      <c r="C31" s="55"/>
      <c r="D31" s="66"/>
      <c r="E31" s="67"/>
      <c r="F31" s="57">
        <f t="shared" si="0"/>
        <v>0</v>
      </c>
      <c r="G31" s="58"/>
      <c r="H31" s="55"/>
      <c r="I31" s="64"/>
      <c r="J31" s="55"/>
      <c r="K31" s="59">
        <f t="shared" si="1"/>
        <v>0</v>
      </c>
      <c r="L31" s="60"/>
      <c r="M31" s="61">
        <f t="shared" si="2"/>
        <v>38295.4</v>
      </c>
      <c r="N31" s="55"/>
      <c r="O31" s="62"/>
      <c r="P31" s="62"/>
    </row>
    <row r="32" s="19" customFormat="1" ht="18" customHeight="1" spans="1:16">
      <c r="A32" s="68" t="s">
        <v>28</v>
      </c>
      <c r="B32" s="69"/>
      <c r="C32" s="70"/>
      <c r="D32" s="71"/>
      <c r="E32" s="72"/>
      <c r="F32" s="73">
        <f>SUM(F6:F31)</f>
        <v>38295.4</v>
      </c>
      <c r="G32" s="68" t="s">
        <v>29</v>
      </c>
      <c r="H32" s="74"/>
      <c r="I32" s="75"/>
      <c r="J32" s="74"/>
      <c r="K32" s="76">
        <f>SUM(K6:K31)</f>
        <v>0</v>
      </c>
      <c r="L32" s="77" t="s">
        <v>30</v>
      </c>
      <c r="M32" s="78">
        <f>M31</f>
        <v>38295.4</v>
      </c>
      <c r="N32" s="55"/>
      <c r="O32" s="62"/>
      <c r="P32" s="62"/>
    </row>
  </sheetData>
  <mergeCells count="4">
    <mergeCell ref="A1:N1"/>
    <mergeCell ref="B3:C3"/>
    <mergeCell ref="A32:E32"/>
    <mergeCell ref="G32:J32"/>
  </mergeCells>
  <dataValidations count="5">
    <dataValidation type="list" allowBlank="1" showInputMessage="1" showErrorMessage="1" sqref="E3 D4">
      <formula1>"企点群,微信群,邮箱"</formula1>
    </dataValidation>
    <dataValidation type="list" allowBlank="1" showInputMessage="1" showErrorMessage="1" sqref="J3">
      <formula1>"直客,同行"</formula1>
    </dataValidation>
    <dataValidation type="list" allowBlank="1" showInputMessage="1" showErrorMessage="1" sqref="M3">
      <formula1>"现结,周结,半月结,月结,签收结,60天结,其他"</formula1>
    </dataValidation>
    <dataValidation type="list" allowBlank="1" showInputMessage="1" showErrorMessage="1" sqref="C32 H32">
      <formula1>#REF!</formula1>
    </dataValidation>
    <dataValidation type="list" allowBlank="1" showInputMessage="1" showErrorMessage="1" sqref="C6:C31 H6:H31">
      <formula1>"RMB,GBP,USD,EUR"</formula1>
    </dataValidation>
  </dataValidations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1"/>
  <sheetViews>
    <sheetView tabSelected="1" zoomScale="85" zoomScaleNormal="85" topLeftCell="A33" workbookViewId="0">
      <selection activeCell="T58" sqref="T58"/>
    </sheetView>
  </sheetViews>
  <sheetFormatPr defaultColWidth="13" defaultRowHeight="24.75" customHeight="1"/>
  <cols>
    <col min="1" max="1" width="4.875" customWidth="1"/>
    <col min="2" max="2" width="14.75" customWidth="1"/>
    <col min="3" max="3" width="8.875" customWidth="1"/>
    <col min="4" max="4" width="17.375" customWidth="1"/>
    <col min="5" max="5" width="14" customWidth="1"/>
    <col min="6" max="7" width="17.7916666666667" customWidth="1"/>
    <col min="8" max="8" width="18.5" customWidth="1"/>
    <col min="9" max="9" width="10.5" customWidth="1"/>
    <col min="10" max="10" width="5.625" customWidth="1"/>
    <col min="11" max="11" width="17" customWidth="1"/>
    <col min="12" max="12" width="8" customWidth="1"/>
    <col min="13" max="13" width="8.875" customWidth="1"/>
    <col min="14" max="14" width="7" customWidth="1"/>
    <col min="15" max="15" width="4.875" customWidth="1"/>
    <col min="16" max="16" width="8.875" customWidth="1"/>
    <col min="17" max="17" width="7.375" customWidth="1"/>
    <col min="18" max="18" width="8" customWidth="1"/>
    <col min="19" max="19" width="19.125" customWidth="1"/>
    <col min="20" max="20" width="13.125" customWidth="1"/>
    <col min="21" max="21" width="8.875" customWidth="1"/>
    <col min="22" max="22" width="4.875" customWidth="1"/>
    <col min="23" max="23" width="8.875" customWidth="1"/>
  </cols>
  <sheetData>
    <row r="1" customHeight="1" spans="1:23">
      <c r="A1" s="1" t="s">
        <v>31</v>
      </c>
    </row>
    <row r="2" customHeight="1" spans="1:23">
      <c r="A2" s="1" t="s">
        <v>32</v>
      </c>
    </row>
    <row r="4" customHeight="1" spans="1:23">
      <c r="A4" s="2" t="s">
        <v>33</v>
      </c>
      <c r="C4" s="3" t="s">
        <v>25</v>
      </c>
      <c r="E4" t="s">
        <v>34</v>
      </c>
    </row>
    <row r="5" customHeight="1" spans="1:23">
      <c r="A5" s="2" t="s">
        <v>35</v>
      </c>
      <c r="C5" s="4" t="s">
        <v>36</v>
      </c>
      <c r="L5" t="s">
        <v>34</v>
      </c>
    </row>
    <row r="6" customHeight="1" spans="1:23">
      <c r="A6" s="2" t="s">
        <v>37</v>
      </c>
      <c r="C6" s="4" t="s">
        <v>38</v>
      </c>
    </row>
    <row r="7" customHeight="1" spans="1:23">
      <c r="A7" s="2" t="s">
        <v>39</v>
      </c>
      <c r="C7" s="4" t="s">
        <v>40</v>
      </c>
      <c r="L7" t="s">
        <v>34</v>
      </c>
    </row>
    <row r="8" customHeight="1" spans="1:23">
      <c r="A8" s="5" t="s">
        <v>41</v>
      </c>
      <c r="B8" s="5" t="s">
        <v>42</v>
      </c>
      <c r="C8" s="5" t="s">
        <v>43</v>
      </c>
      <c r="D8" s="5" t="s">
        <v>11</v>
      </c>
      <c r="E8" s="5" t="s">
        <v>44</v>
      </c>
      <c r="F8" s="5" t="s">
        <v>45</v>
      </c>
      <c r="G8" s="5" t="s">
        <v>46</v>
      </c>
      <c r="H8" s="5" t="s">
        <v>47</v>
      </c>
      <c r="I8" s="5" t="s">
        <v>48</v>
      </c>
      <c r="J8" s="5" t="s">
        <v>49</v>
      </c>
      <c r="K8" s="5" t="s">
        <v>50</v>
      </c>
      <c r="L8" s="5" t="s">
        <v>51</v>
      </c>
      <c r="M8" s="5" t="s">
        <v>52</v>
      </c>
      <c r="N8" s="5" t="s">
        <v>53</v>
      </c>
      <c r="O8" s="5" t="s">
        <v>54</v>
      </c>
      <c r="P8" s="5" t="s">
        <v>55</v>
      </c>
      <c r="Q8" s="5" t="s">
        <v>13</v>
      </c>
      <c r="R8" s="5" t="s">
        <v>56</v>
      </c>
      <c r="S8" s="5" t="s">
        <v>15</v>
      </c>
      <c r="T8" s="5" t="s">
        <v>57</v>
      </c>
      <c r="U8" s="5" t="s">
        <v>58</v>
      </c>
      <c r="V8" s="5" t="s">
        <v>59</v>
      </c>
      <c r="W8" s="5" t="s">
        <v>60</v>
      </c>
    </row>
    <row r="9" customHeight="1" spans="1:23">
      <c r="A9" s="6" t="s">
        <v>61</v>
      </c>
      <c r="B9" s="6" t="s">
        <v>62</v>
      </c>
      <c r="C9" s="6" t="s">
        <v>63</v>
      </c>
      <c r="D9" s="6" t="s">
        <v>64</v>
      </c>
      <c r="E9" s="7" t="s">
        <v>65</v>
      </c>
      <c r="F9" s="7" t="s">
        <v>34</v>
      </c>
      <c r="G9" s="6" t="s">
        <v>66</v>
      </c>
      <c r="H9" s="6" t="s">
        <v>67</v>
      </c>
      <c r="I9" s="6" t="s">
        <v>68</v>
      </c>
      <c r="J9" s="6" t="s">
        <v>69</v>
      </c>
      <c r="K9" s="8" t="s">
        <v>70</v>
      </c>
      <c r="L9" s="8" t="s">
        <v>71</v>
      </c>
      <c r="M9" s="6" t="s">
        <v>72</v>
      </c>
      <c r="N9" s="8" t="s">
        <v>70</v>
      </c>
      <c r="O9" s="8" t="s">
        <v>73</v>
      </c>
      <c r="P9" s="6" t="s">
        <v>74</v>
      </c>
      <c r="Q9" s="6" t="s">
        <v>75</v>
      </c>
      <c r="R9" s="8" t="s">
        <v>76</v>
      </c>
      <c r="S9" s="8" t="s">
        <v>77</v>
      </c>
      <c r="T9" s="9">
        <v>1648.4</v>
      </c>
      <c r="U9" s="6" t="s">
        <v>78</v>
      </c>
      <c r="V9" s="6" t="s">
        <v>34</v>
      </c>
      <c r="W9" s="10" t="s">
        <v>79</v>
      </c>
    </row>
    <row r="10" customHeight="1" spans="1:23">
      <c r="A10" s="6" t="s">
        <v>80</v>
      </c>
      <c r="B10" s="6" t="s">
        <v>81</v>
      </c>
      <c r="C10" s="6" t="s">
        <v>63</v>
      </c>
      <c r="D10" s="6" t="s">
        <v>82</v>
      </c>
      <c r="E10" s="7" t="s">
        <v>83</v>
      </c>
      <c r="F10" s="7" t="s">
        <v>34</v>
      </c>
      <c r="G10" s="6" t="s">
        <v>84</v>
      </c>
      <c r="H10" s="6" t="s">
        <v>85</v>
      </c>
      <c r="I10" s="6" t="s">
        <v>68</v>
      </c>
      <c r="J10" s="6" t="s">
        <v>69</v>
      </c>
      <c r="K10" s="8" t="s">
        <v>86</v>
      </c>
      <c r="L10" s="8" t="s">
        <v>87</v>
      </c>
      <c r="M10" s="6" t="s">
        <v>72</v>
      </c>
      <c r="N10" s="8" t="s">
        <v>86</v>
      </c>
      <c r="O10" s="8" t="s">
        <v>73</v>
      </c>
      <c r="P10" s="6" t="s">
        <v>74</v>
      </c>
      <c r="Q10" s="6" t="s">
        <v>75</v>
      </c>
      <c r="R10" s="8" t="s">
        <v>88</v>
      </c>
      <c r="S10" s="8" t="s">
        <v>77</v>
      </c>
      <c r="T10" s="9">
        <v>3768</v>
      </c>
      <c r="U10" s="6" t="s">
        <v>89</v>
      </c>
      <c r="V10" s="6" t="s">
        <v>34</v>
      </c>
      <c r="W10" s="10" t="s">
        <v>79</v>
      </c>
    </row>
    <row r="11" customHeight="1" spans="1:23">
      <c r="A11" s="6" t="s">
        <v>90</v>
      </c>
      <c r="B11" s="6" t="s">
        <v>81</v>
      </c>
      <c r="C11" s="6" t="s">
        <v>91</v>
      </c>
      <c r="D11" s="6" t="s">
        <v>82</v>
      </c>
      <c r="E11" s="7" t="s">
        <v>83</v>
      </c>
      <c r="F11" s="7" t="s">
        <v>34</v>
      </c>
      <c r="G11" s="6" t="s">
        <v>84</v>
      </c>
      <c r="H11" s="6" t="s">
        <v>85</v>
      </c>
      <c r="I11" s="6" t="s">
        <v>68</v>
      </c>
      <c r="J11" s="6" t="s">
        <v>69</v>
      </c>
      <c r="K11" s="8" t="s">
        <v>86</v>
      </c>
      <c r="L11" s="8" t="s">
        <v>92</v>
      </c>
      <c r="M11" s="6" t="s">
        <v>93</v>
      </c>
      <c r="N11" s="8" t="s">
        <v>94</v>
      </c>
      <c r="O11" s="8" t="s">
        <v>73</v>
      </c>
      <c r="P11" s="6" t="s">
        <v>74</v>
      </c>
      <c r="Q11" s="6" t="s">
        <v>75</v>
      </c>
      <c r="R11" s="8" t="s">
        <v>95</v>
      </c>
      <c r="S11" s="8" t="s">
        <v>77</v>
      </c>
      <c r="T11" s="9">
        <v>200</v>
      </c>
      <c r="U11" s="6" t="s">
        <v>89</v>
      </c>
      <c r="V11" s="6" t="s">
        <v>34</v>
      </c>
      <c r="W11" s="10" t="s">
        <v>79</v>
      </c>
    </row>
    <row r="12" customHeight="1" spans="1:23">
      <c r="A12" s="6" t="s">
        <v>96</v>
      </c>
      <c r="B12" s="6" t="s">
        <v>97</v>
      </c>
      <c r="C12" s="6" t="s">
        <v>63</v>
      </c>
      <c r="D12" s="6" t="s">
        <v>98</v>
      </c>
      <c r="E12" s="7" t="s">
        <v>99</v>
      </c>
      <c r="F12" s="7" t="s">
        <v>34</v>
      </c>
      <c r="G12" s="6" t="s">
        <v>100</v>
      </c>
      <c r="H12" s="6" t="s">
        <v>67</v>
      </c>
      <c r="I12" s="6" t="s">
        <v>101</v>
      </c>
      <c r="J12" s="6" t="s">
        <v>102</v>
      </c>
      <c r="K12" s="8" t="s">
        <v>103</v>
      </c>
      <c r="L12" s="8" t="s">
        <v>104</v>
      </c>
      <c r="M12" s="6" t="s">
        <v>72</v>
      </c>
      <c r="N12" s="8" t="s">
        <v>103</v>
      </c>
      <c r="O12" s="8" t="s">
        <v>105</v>
      </c>
      <c r="P12" s="6" t="s">
        <v>74</v>
      </c>
      <c r="Q12" s="6" t="s">
        <v>75</v>
      </c>
      <c r="R12" s="8" t="s">
        <v>106</v>
      </c>
      <c r="S12" s="8" t="s">
        <v>77</v>
      </c>
      <c r="T12" s="9">
        <v>1175</v>
      </c>
      <c r="U12" s="6" t="s">
        <v>78</v>
      </c>
      <c r="V12" s="6" t="s">
        <v>34</v>
      </c>
      <c r="W12" s="10" t="s">
        <v>79</v>
      </c>
    </row>
    <row r="13" customHeight="1" spans="1:23">
      <c r="A13" s="6" t="s">
        <v>107</v>
      </c>
      <c r="B13" s="6" t="s">
        <v>108</v>
      </c>
      <c r="C13" s="6" t="s">
        <v>63</v>
      </c>
      <c r="D13" s="6" t="s">
        <v>109</v>
      </c>
      <c r="E13" s="7" t="s">
        <v>110</v>
      </c>
      <c r="F13" s="7" t="s">
        <v>34</v>
      </c>
      <c r="G13" s="6" t="s">
        <v>111</v>
      </c>
      <c r="H13" s="6" t="s">
        <v>67</v>
      </c>
      <c r="I13" s="6" t="s">
        <v>112</v>
      </c>
      <c r="J13" s="6" t="s">
        <v>113</v>
      </c>
      <c r="K13" s="8" t="s">
        <v>103</v>
      </c>
      <c r="L13" s="8" t="s">
        <v>71</v>
      </c>
      <c r="M13" s="6" t="s">
        <v>72</v>
      </c>
      <c r="N13" s="8" t="s">
        <v>103</v>
      </c>
      <c r="O13" s="8" t="s">
        <v>114</v>
      </c>
      <c r="P13" s="6" t="s">
        <v>74</v>
      </c>
      <c r="Q13" s="6" t="s">
        <v>75</v>
      </c>
      <c r="R13" s="8" t="s">
        <v>115</v>
      </c>
      <c r="S13" s="8" t="s">
        <v>77</v>
      </c>
      <c r="T13" s="9">
        <v>1222</v>
      </c>
      <c r="U13" s="6" t="s">
        <v>78</v>
      </c>
      <c r="V13" s="6" t="s">
        <v>34</v>
      </c>
      <c r="W13" s="10" t="s">
        <v>79</v>
      </c>
    </row>
    <row r="14" customHeight="1" spans="1:23">
      <c r="A14" s="6" t="s">
        <v>116</v>
      </c>
      <c r="B14" s="6" t="s">
        <v>117</v>
      </c>
      <c r="C14" s="6" t="s">
        <v>63</v>
      </c>
      <c r="D14" s="6" t="s">
        <v>118</v>
      </c>
      <c r="E14" s="7" t="s">
        <v>119</v>
      </c>
      <c r="F14" s="7" t="s">
        <v>120</v>
      </c>
      <c r="G14" s="6" t="s">
        <v>119</v>
      </c>
      <c r="H14" s="6" t="s">
        <v>85</v>
      </c>
      <c r="I14" s="6" t="s">
        <v>121</v>
      </c>
      <c r="J14" s="6" t="s">
        <v>122</v>
      </c>
      <c r="K14" s="8" t="s">
        <v>123</v>
      </c>
      <c r="L14" s="8" t="s">
        <v>124</v>
      </c>
      <c r="M14" s="6" t="s">
        <v>72</v>
      </c>
      <c r="N14" s="8" t="s">
        <v>123</v>
      </c>
      <c r="O14" s="8" t="s">
        <v>61</v>
      </c>
      <c r="P14" s="6" t="s">
        <v>74</v>
      </c>
      <c r="Q14" s="6" t="s">
        <v>75</v>
      </c>
      <c r="R14" s="8" t="s">
        <v>125</v>
      </c>
      <c r="S14" s="8" t="s">
        <v>77</v>
      </c>
      <c r="T14" s="9">
        <v>300</v>
      </c>
      <c r="U14" s="6" t="s">
        <v>89</v>
      </c>
      <c r="V14" s="6" t="s">
        <v>34</v>
      </c>
      <c r="W14" s="10" t="s">
        <v>79</v>
      </c>
    </row>
    <row r="15" customHeight="1" spans="1:23">
      <c r="A15" s="6" t="s">
        <v>126</v>
      </c>
      <c r="B15" s="6" t="s">
        <v>127</v>
      </c>
      <c r="C15" s="6" t="s">
        <v>63</v>
      </c>
      <c r="D15" s="6" t="s">
        <v>128</v>
      </c>
      <c r="E15" s="7" t="s">
        <v>129</v>
      </c>
      <c r="F15" s="7" t="s">
        <v>34</v>
      </c>
      <c r="G15" s="6" t="s">
        <v>129</v>
      </c>
      <c r="H15" s="6" t="s">
        <v>130</v>
      </c>
      <c r="I15" s="6" t="s">
        <v>131</v>
      </c>
      <c r="J15" s="6" t="s">
        <v>132</v>
      </c>
      <c r="K15" s="8" t="s">
        <v>123</v>
      </c>
      <c r="L15" s="8" t="s">
        <v>133</v>
      </c>
      <c r="M15" s="6" t="s">
        <v>72</v>
      </c>
      <c r="N15" s="8" t="s">
        <v>123</v>
      </c>
      <c r="O15" s="8" t="s">
        <v>61</v>
      </c>
      <c r="P15" s="6" t="s">
        <v>74</v>
      </c>
      <c r="Q15" s="6" t="s">
        <v>75</v>
      </c>
      <c r="R15" s="8" t="s">
        <v>134</v>
      </c>
      <c r="S15" s="8" t="s">
        <v>77</v>
      </c>
      <c r="T15" s="9">
        <v>740</v>
      </c>
      <c r="U15" s="6" t="s">
        <v>135</v>
      </c>
      <c r="V15" s="6" t="s">
        <v>34</v>
      </c>
      <c r="W15" s="10" t="s">
        <v>79</v>
      </c>
    </row>
    <row r="16" customHeight="1" spans="1:23">
      <c r="A16" s="6" t="s">
        <v>136</v>
      </c>
      <c r="B16" s="6" t="s">
        <v>137</v>
      </c>
      <c r="C16" s="6" t="s">
        <v>63</v>
      </c>
      <c r="D16" s="6" t="s">
        <v>138</v>
      </c>
      <c r="E16" s="7" t="s">
        <v>139</v>
      </c>
      <c r="F16" s="7" t="s">
        <v>140</v>
      </c>
      <c r="G16" s="6" t="s">
        <v>139</v>
      </c>
      <c r="H16" s="6" t="s">
        <v>85</v>
      </c>
      <c r="I16" s="6" t="s">
        <v>121</v>
      </c>
      <c r="J16" s="6" t="s">
        <v>122</v>
      </c>
      <c r="K16" s="8" t="s">
        <v>141</v>
      </c>
      <c r="L16" s="8" t="s">
        <v>142</v>
      </c>
      <c r="M16" s="6" t="s">
        <v>72</v>
      </c>
      <c r="N16" s="8" t="s">
        <v>141</v>
      </c>
      <c r="O16" s="8" t="s">
        <v>90</v>
      </c>
      <c r="P16" s="6" t="s">
        <v>74</v>
      </c>
      <c r="Q16" s="6" t="s">
        <v>75</v>
      </c>
      <c r="R16" s="8" t="s">
        <v>143</v>
      </c>
      <c r="S16" s="8" t="s">
        <v>77</v>
      </c>
      <c r="T16" s="9">
        <v>767</v>
      </c>
      <c r="U16" s="6" t="s">
        <v>89</v>
      </c>
      <c r="V16" s="6" t="s">
        <v>34</v>
      </c>
      <c r="W16" s="10" t="s">
        <v>79</v>
      </c>
    </row>
    <row r="17" customHeight="1" spans="1:23">
      <c r="A17" s="6" t="s">
        <v>144</v>
      </c>
      <c r="B17" s="6" t="s">
        <v>137</v>
      </c>
      <c r="C17" s="6" t="s">
        <v>91</v>
      </c>
      <c r="D17" s="6" t="s">
        <v>138</v>
      </c>
      <c r="E17" s="7" t="s">
        <v>139</v>
      </c>
      <c r="F17" s="7" t="s">
        <v>140</v>
      </c>
      <c r="G17" s="6" t="s">
        <v>139</v>
      </c>
      <c r="H17" s="6" t="s">
        <v>85</v>
      </c>
      <c r="I17" s="6" t="s">
        <v>121</v>
      </c>
      <c r="J17" s="6" t="s">
        <v>122</v>
      </c>
      <c r="K17" s="8" t="s">
        <v>141</v>
      </c>
      <c r="L17" s="8" t="s">
        <v>92</v>
      </c>
      <c r="M17" s="6" t="s">
        <v>93</v>
      </c>
      <c r="N17" s="8" t="s">
        <v>94</v>
      </c>
      <c r="O17" s="8" t="s">
        <v>90</v>
      </c>
      <c r="P17" s="6" t="s">
        <v>74</v>
      </c>
      <c r="Q17" s="6" t="s">
        <v>75</v>
      </c>
      <c r="R17" s="8" t="s">
        <v>95</v>
      </c>
      <c r="S17" s="8" t="s">
        <v>77</v>
      </c>
      <c r="T17" s="9">
        <v>200</v>
      </c>
      <c r="U17" s="6" t="s">
        <v>89</v>
      </c>
      <c r="V17" s="6" t="s">
        <v>34</v>
      </c>
      <c r="W17" s="10" t="s">
        <v>79</v>
      </c>
    </row>
    <row r="18" customHeight="1" spans="1:23">
      <c r="A18" s="6" t="s">
        <v>145</v>
      </c>
      <c r="B18" s="6" t="s">
        <v>146</v>
      </c>
      <c r="C18" s="6" t="s">
        <v>63</v>
      </c>
      <c r="D18" s="6" t="s">
        <v>147</v>
      </c>
      <c r="E18" s="7" t="s">
        <v>148</v>
      </c>
      <c r="F18" s="7" t="s">
        <v>34</v>
      </c>
      <c r="G18" s="6" t="s">
        <v>149</v>
      </c>
      <c r="H18" s="6" t="s">
        <v>85</v>
      </c>
      <c r="I18" s="6" t="s">
        <v>131</v>
      </c>
      <c r="J18" s="6" t="s">
        <v>132</v>
      </c>
      <c r="K18" s="8" t="s">
        <v>150</v>
      </c>
      <c r="L18" s="8" t="s">
        <v>151</v>
      </c>
      <c r="M18" s="6" t="s">
        <v>72</v>
      </c>
      <c r="N18" s="8" t="s">
        <v>150</v>
      </c>
      <c r="O18" s="8" t="s">
        <v>126</v>
      </c>
      <c r="P18" s="6" t="s">
        <v>74</v>
      </c>
      <c r="Q18" s="6" t="s">
        <v>75</v>
      </c>
      <c r="R18" s="8" t="s">
        <v>152</v>
      </c>
      <c r="S18" s="8" t="s">
        <v>77</v>
      </c>
      <c r="T18" s="9">
        <v>1506.5</v>
      </c>
      <c r="U18" s="6" t="s">
        <v>89</v>
      </c>
      <c r="V18" s="6" t="s">
        <v>34</v>
      </c>
      <c r="W18" s="10" t="s">
        <v>79</v>
      </c>
    </row>
    <row r="19" customHeight="1" spans="1:23">
      <c r="A19" s="6" t="s">
        <v>153</v>
      </c>
      <c r="B19" s="6" t="s">
        <v>154</v>
      </c>
      <c r="C19" s="6" t="s">
        <v>63</v>
      </c>
      <c r="D19" s="6" t="s">
        <v>155</v>
      </c>
      <c r="E19" s="7" t="s">
        <v>156</v>
      </c>
      <c r="F19" s="7" t="s">
        <v>157</v>
      </c>
      <c r="G19" s="6" t="s">
        <v>158</v>
      </c>
      <c r="H19" s="6" t="s">
        <v>67</v>
      </c>
      <c r="I19" s="6" t="s">
        <v>159</v>
      </c>
      <c r="J19" s="6" t="s">
        <v>160</v>
      </c>
      <c r="K19" s="8" t="s">
        <v>161</v>
      </c>
      <c r="L19" s="8" t="s">
        <v>162</v>
      </c>
      <c r="M19" s="6" t="s">
        <v>72</v>
      </c>
      <c r="N19" s="8" t="s">
        <v>161</v>
      </c>
      <c r="O19" s="8" t="s">
        <v>136</v>
      </c>
      <c r="P19" s="6" t="s">
        <v>74</v>
      </c>
      <c r="Q19" s="6" t="s">
        <v>75</v>
      </c>
      <c r="R19" s="8" t="s">
        <v>163</v>
      </c>
      <c r="S19" s="8" t="s">
        <v>77</v>
      </c>
      <c r="T19" s="9">
        <v>738</v>
      </c>
      <c r="U19" s="6" t="s">
        <v>78</v>
      </c>
      <c r="V19" s="6" t="s">
        <v>34</v>
      </c>
      <c r="W19" s="10" t="s">
        <v>79</v>
      </c>
    </row>
    <row r="20" customHeight="1" spans="1:23">
      <c r="A20" s="6" t="s">
        <v>164</v>
      </c>
      <c r="B20" s="6" t="s">
        <v>165</v>
      </c>
      <c r="C20" s="6" t="s">
        <v>63</v>
      </c>
      <c r="D20" s="6" t="s">
        <v>166</v>
      </c>
      <c r="E20" s="7" t="s">
        <v>167</v>
      </c>
      <c r="F20" s="7" t="s">
        <v>34</v>
      </c>
      <c r="G20" s="6" t="s">
        <v>168</v>
      </c>
      <c r="H20" s="6" t="s">
        <v>85</v>
      </c>
      <c r="I20" s="6" t="s">
        <v>101</v>
      </c>
      <c r="J20" s="6" t="s">
        <v>102</v>
      </c>
      <c r="K20" s="8" t="s">
        <v>169</v>
      </c>
      <c r="L20" s="8" t="s">
        <v>170</v>
      </c>
      <c r="M20" s="6" t="s">
        <v>72</v>
      </c>
      <c r="N20" s="8" t="s">
        <v>169</v>
      </c>
      <c r="O20" s="8" t="s">
        <v>107</v>
      </c>
      <c r="P20" s="6" t="s">
        <v>74</v>
      </c>
      <c r="Q20" s="6" t="s">
        <v>75</v>
      </c>
      <c r="R20" s="8" t="s">
        <v>171</v>
      </c>
      <c r="S20" s="8" t="s">
        <v>77</v>
      </c>
      <c r="T20" s="9">
        <v>1150</v>
      </c>
      <c r="U20" s="6" t="s">
        <v>89</v>
      </c>
      <c r="V20" s="6" t="s">
        <v>34</v>
      </c>
      <c r="W20" s="10" t="s">
        <v>79</v>
      </c>
    </row>
    <row r="21" customHeight="1" spans="1:23">
      <c r="A21" s="6" t="s">
        <v>172</v>
      </c>
      <c r="B21" s="6" t="s">
        <v>173</v>
      </c>
      <c r="C21" s="6" t="s">
        <v>63</v>
      </c>
      <c r="D21" s="6" t="s">
        <v>174</v>
      </c>
      <c r="E21" s="7" t="s">
        <v>175</v>
      </c>
      <c r="F21" s="7" t="s">
        <v>34</v>
      </c>
      <c r="G21" s="6" t="s">
        <v>175</v>
      </c>
      <c r="H21" s="6" t="s">
        <v>67</v>
      </c>
      <c r="I21" s="6" t="s">
        <v>101</v>
      </c>
      <c r="J21" s="6" t="s">
        <v>102</v>
      </c>
      <c r="K21" s="8" t="s">
        <v>176</v>
      </c>
      <c r="L21" s="8" t="s">
        <v>104</v>
      </c>
      <c r="M21" s="6" t="s">
        <v>72</v>
      </c>
      <c r="N21" s="8" t="s">
        <v>176</v>
      </c>
      <c r="O21" s="8" t="s">
        <v>107</v>
      </c>
      <c r="P21" s="6" t="s">
        <v>74</v>
      </c>
      <c r="Q21" s="6" t="s">
        <v>75</v>
      </c>
      <c r="R21" s="8" t="s">
        <v>177</v>
      </c>
      <c r="S21" s="8" t="s">
        <v>77</v>
      </c>
      <c r="T21" s="9">
        <v>455</v>
      </c>
      <c r="U21" s="6" t="s">
        <v>78</v>
      </c>
      <c r="V21" s="6" t="s">
        <v>34</v>
      </c>
      <c r="W21" s="10" t="s">
        <v>79</v>
      </c>
    </row>
    <row r="22" customHeight="1" spans="1:23">
      <c r="A22" s="6" t="s">
        <v>114</v>
      </c>
      <c r="B22" s="6" t="s">
        <v>178</v>
      </c>
      <c r="C22" s="6" t="s">
        <v>63</v>
      </c>
      <c r="D22" s="6" t="s">
        <v>179</v>
      </c>
      <c r="E22" s="7" t="s">
        <v>180</v>
      </c>
      <c r="F22" s="7" t="s">
        <v>34</v>
      </c>
      <c r="G22" s="6" t="s">
        <v>180</v>
      </c>
      <c r="H22" s="6" t="s">
        <v>67</v>
      </c>
      <c r="I22" s="6" t="s">
        <v>131</v>
      </c>
      <c r="J22" s="6" t="s">
        <v>132</v>
      </c>
      <c r="K22" s="8" t="s">
        <v>181</v>
      </c>
      <c r="L22" s="8" t="s">
        <v>182</v>
      </c>
      <c r="M22" s="6" t="s">
        <v>72</v>
      </c>
      <c r="N22" s="8" t="s">
        <v>181</v>
      </c>
      <c r="O22" s="8" t="s">
        <v>61</v>
      </c>
      <c r="P22" s="6" t="s">
        <v>74</v>
      </c>
      <c r="Q22" s="6" t="s">
        <v>75</v>
      </c>
      <c r="R22" s="8" t="s">
        <v>183</v>
      </c>
      <c r="S22" s="8" t="s">
        <v>77</v>
      </c>
      <c r="T22" s="9">
        <v>88.2</v>
      </c>
      <c r="U22" s="6" t="s">
        <v>78</v>
      </c>
      <c r="V22" s="6" t="s">
        <v>34</v>
      </c>
      <c r="W22" s="10" t="s">
        <v>79</v>
      </c>
    </row>
    <row r="23" customHeight="1" spans="1:23">
      <c r="A23" s="6" t="s">
        <v>105</v>
      </c>
      <c r="B23" s="6" t="s">
        <v>178</v>
      </c>
      <c r="C23" s="6" t="s">
        <v>91</v>
      </c>
      <c r="D23" s="6" t="s">
        <v>179</v>
      </c>
      <c r="E23" s="7" t="s">
        <v>180</v>
      </c>
      <c r="F23" s="7" t="s">
        <v>34</v>
      </c>
      <c r="G23" s="6" t="s">
        <v>180</v>
      </c>
      <c r="H23" s="6" t="s">
        <v>67</v>
      </c>
      <c r="I23" s="6" t="s">
        <v>131</v>
      </c>
      <c r="J23" s="6" t="s">
        <v>132</v>
      </c>
      <c r="K23" s="8" t="s">
        <v>181</v>
      </c>
      <c r="L23" s="8" t="s">
        <v>92</v>
      </c>
      <c r="M23" s="6" t="s">
        <v>93</v>
      </c>
      <c r="N23" s="8" t="s">
        <v>94</v>
      </c>
      <c r="O23" s="8" t="s">
        <v>61</v>
      </c>
      <c r="P23" s="6" t="s">
        <v>74</v>
      </c>
      <c r="Q23" s="6" t="s">
        <v>75</v>
      </c>
      <c r="R23" s="8" t="s">
        <v>95</v>
      </c>
      <c r="S23" s="8" t="s">
        <v>77</v>
      </c>
      <c r="T23" s="9">
        <v>200</v>
      </c>
      <c r="U23" s="6" t="s">
        <v>78</v>
      </c>
      <c r="V23" s="6" t="s">
        <v>34</v>
      </c>
      <c r="W23" s="10" t="s">
        <v>79</v>
      </c>
    </row>
    <row r="24" customHeight="1" spans="1:23">
      <c r="A24" s="6" t="s">
        <v>184</v>
      </c>
      <c r="B24" s="6" t="s">
        <v>185</v>
      </c>
      <c r="C24" s="6" t="s">
        <v>91</v>
      </c>
      <c r="D24" s="6" t="s">
        <v>186</v>
      </c>
      <c r="E24" s="7" t="s">
        <v>187</v>
      </c>
      <c r="F24" s="7" t="s">
        <v>34</v>
      </c>
      <c r="G24" s="6" t="s">
        <v>188</v>
      </c>
      <c r="H24" s="6" t="s">
        <v>67</v>
      </c>
      <c r="I24" s="6" t="s">
        <v>131</v>
      </c>
      <c r="J24" s="6" t="s">
        <v>132</v>
      </c>
      <c r="K24" s="8" t="s">
        <v>189</v>
      </c>
      <c r="L24" s="8" t="s">
        <v>92</v>
      </c>
      <c r="M24" s="6" t="s">
        <v>93</v>
      </c>
      <c r="N24" s="8" t="s">
        <v>94</v>
      </c>
      <c r="O24" s="8" t="s">
        <v>153</v>
      </c>
      <c r="P24" s="6" t="s">
        <v>74</v>
      </c>
      <c r="Q24" s="6" t="s">
        <v>75</v>
      </c>
      <c r="R24" s="8" t="s">
        <v>95</v>
      </c>
      <c r="S24" s="8" t="s">
        <v>77</v>
      </c>
      <c r="T24" s="9">
        <v>200</v>
      </c>
      <c r="U24" s="6" t="s">
        <v>78</v>
      </c>
      <c r="V24" s="6" t="s">
        <v>34</v>
      </c>
      <c r="W24" s="10" t="s">
        <v>79</v>
      </c>
    </row>
    <row r="25" customHeight="1" spans="1:23">
      <c r="A25" s="6" t="s">
        <v>73</v>
      </c>
      <c r="B25" s="6" t="s">
        <v>185</v>
      </c>
      <c r="C25" s="6" t="s">
        <v>63</v>
      </c>
      <c r="D25" s="6" t="s">
        <v>186</v>
      </c>
      <c r="E25" s="7" t="s">
        <v>187</v>
      </c>
      <c r="F25" s="7" t="s">
        <v>34</v>
      </c>
      <c r="G25" s="6" t="s">
        <v>188</v>
      </c>
      <c r="H25" s="6" t="s">
        <v>67</v>
      </c>
      <c r="I25" s="6" t="s">
        <v>131</v>
      </c>
      <c r="J25" s="6" t="s">
        <v>132</v>
      </c>
      <c r="K25" s="8" t="s">
        <v>189</v>
      </c>
      <c r="L25" s="8" t="s">
        <v>182</v>
      </c>
      <c r="M25" s="6" t="s">
        <v>72</v>
      </c>
      <c r="N25" s="8" t="s">
        <v>189</v>
      </c>
      <c r="O25" s="8" t="s">
        <v>153</v>
      </c>
      <c r="P25" s="6" t="s">
        <v>74</v>
      </c>
      <c r="Q25" s="6" t="s">
        <v>75</v>
      </c>
      <c r="R25" s="8" t="s">
        <v>190</v>
      </c>
      <c r="S25" s="8" t="s">
        <v>77</v>
      </c>
      <c r="T25" s="9">
        <v>896.7</v>
      </c>
      <c r="U25" s="6" t="s">
        <v>78</v>
      </c>
      <c r="V25" s="6" t="s">
        <v>34</v>
      </c>
      <c r="W25" s="10" t="s">
        <v>79</v>
      </c>
    </row>
    <row r="26" customHeight="1" spans="1:23">
      <c r="A26" s="6" t="s">
        <v>191</v>
      </c>
      <c r="B26" s="6" t="s">
        <v>192</v>
      </c>
      <c r="C26" s="6" t="s">
        <v>63</v>
      </c>
      <c r="D26" s="6" t="s">
        <v>193</v>
      </c>
      <c r="E26" s="7" t="s">
        <v>194</v>
      </c>
      <c r="F26" s="7" t="s">
        <v>34</v>
      </c>
      <c r="G26" s="6" t="s">
        <v>194</v>
      </c>
      <c r="H26" s="6" t="s">
        <v>85</v>
      </c>
      <c r="I26" s="6" t="s">
        <v>131</v>
      </c>
      <c r="J26" s="6" t="s">
        <v>132</v>
      </c>
      <c r="K26" s="8" t="s">
        <v>123</v>
      </c>
      <c r="L26" s="8" t="s">
        <v>195</v>
      </c>
      <c r="M26" s="6" t="s">
        <v>72</v>
      </c>
      <c r="N26" s="8" t="s">
        <v>123</v>
      </c>
      <c r="O26" s="8" t="s">
        <v>61</v>
      </c>
      <c r="P26" s="6" t="s">
        <v>74</v>
      </c>
      <c r="Q26" s="6" t="s">
        <v>75</v>
      </c>
      <c r="R26" s="8" t="s">
        <v>196</v>
      </c>
      <c r="S26" s="8" t="s">
        <v>77</v>
      </c>
      <c r="T26" s="9">
        <v>270</v>
      </c>
      <c r="U26" s="6" t="s">
        <v>89</v>
      </c>
      <c r="V26" s="6" t="s">
        <v>34</v>
      </c>
      <c r="W26" s="10" t="s">
        <v>79</v>
      </c>
    </row>
    <row r="27" customHeight="1" spans="1:23">
      <c r="A27" s="6" t="s">
        <v>197</v>
      </c>
      <c r="B27" s="6" t="s">
        <v>198</v>
      </c>
      <c r="C27" s="6" t="s">
        <v>63</v>
      </c>
      <c r="D27" s="6" t="s">
        <v>199</v>
      </c>
      <c r="E27" s="7" t="s">
        <v>200</v>
      </c>
      <c r="F27" s="7" t="s">
        <v>201</v>
      </c>
      <c r="G27" s="6" t="s">
        <v>200</v>
      </c>
      <c r="H27" s="6" t="s">
        <v>85</v>
      </c>
      <c r="I27" s="6" t="s">
        <v>112</v>
      </c>
      <c r="J27" s="6" t="s">
        <v>113</v>
      </c>
      <c r="K27" s="8" t="s">
        <v>202</v>
      </c>
      <c r="L27" s="8" t="s">
        <v>142</v>
      </c>
      <c r="M27" s="6" t="s">
        <v>72</v>
      </c>
      <c r="N27" s="8" t="s">
        <v>202</v>
      </c>
      <c r="O27" s="8" t="s">
        <v>107</v>
      </c>
      <c r="P27" s="6" t="s">
        <v>74</v>
      </c>
      <c r="Q27" s="6" t="s">
        <v>75</v>
      </c>
      <c r="R27" s="8" t="s">
        <v>203</v>
      </c>
      <c r="S27" s="8" t="s">
        <v>77</v>
      </c>
      <c r="T27" s="9">
        <v>1170</v>
      </c>
      <c r="U27" s="6" t="s">
        <v>89</v>
      </c>
      <c r="V27" s="6" t="s">
        <v>34</v>
      </c>
      <c r="W27" s="10" t="s">
        <v>79</v>
      </c>
    </row>
    <row r="28" customHeight="1" spans="1:23">
      <c r="A28" s="6" t="s">
        <v>204</v>
      </c>
      <c r="B28" s="6" t="s">
        <v>205</v>
      </c>
      <c r="C28" s="6" t="s">
        <v>63</v>
      </c>
      <c r="D28" s="6" t="s">
        <v>206</v>
      </c>
      <c r="E28" s="7" t="s">
        <v>207</v>
      </c>
      <c r="F28" s="7" t="s">
        <v>34</v>
      </c>
      <c r="G28" s="6" t="s">
        <v>207</v>
      </c>
      <c r="H28" s="6" t="s">
        <v>208</v>
      </c>
      <c r="I28" s="6" t="s">
        <v>101</v>
      </c>
      <c r="J28" s="6" t="s">
        <v>102</v>
      </c>
      <c r="K28" s="8" t="s">
        <v>123</v>
      </c>
      <c r="L28" s="8" t="s">
        <v>209</v>
      </c>
      <c r="M28" s="6" t="s">
        <v>72</v>
      </c>
      <c r="N28" s="8" t="s">
        <v>123</v>
      </c>
      <c r="O28" s="8" t="s">
        <v>61</v>
      </c>
      <c r="P28" s="6" t="s">
        <v>74</v>
      </c>
      <c r="Q28" s="6" t="s">
        <v>75</v>
      </c>
      <c r="R28" s="8" t="s">
        <v>210</v>
      </c>
      <c r="S28" s="8" t="s">
        <v>77</v>
      </c>
      <c r="T28" s="9">
        <v>790</v>
      </c>
      <c r="U28" s="6" t="s">
        <v>135</v>
      </c>
      <c r="V28" s="6" t="s">
        <v>34</v>
      </c>
      <c r="W28" s="10" t="s">
        <v>79</v>
      </c>
    </row>
    <row r="29" customHeight="1" spans="1:23">
      <c r="A29" s="6" t="s">
        <v>211</v>
      </c>
      <c r="B29" s="6" t="s">
        <v>212</v>
      </c>
      <c r="C29" s="6" t="s">
        <v>63</v>
      </c>
      <c r="D29" s="6" t="s">
        <v>213</v>
      </c>
      <c r="E29" s="7" t="s">
        <v>214</v>
      </c>
      <c r="F29" s="7" t="s">
        <v>34</v>
      </c>
      <c r="G29" s="6" t="s">
        <v>214</v>
      </c>
      <c r="H29" s="6" t="s">
        <v>85</v>
      </c>
      <c r="I29" s="6" t="s">
        <v>101</v>
      </c>
      <c r="J29" s="6" t="s">
        <v>102</v>
      </c>
      <c r="K29" s="8" t="s">
        <v>123</v>
      </c>
      <c r="L29" s="8" t="s">
        <v>215</v>
      </c>
      <c r="M29" s="6" t="s">
        <v>72</v>
      </c>
      <c r="N29" s="8" t="s">
        <v>123</v>
      </c>
      <c r="O29" s="8" t="s">
        <v>61</v>
      </c>
      <c r="P29" s="6" t="s">
        <v>74</v>
      </c>
      <c r="Q29" s="6" t="s">
        <v>75</v>
      </c>
      <c r="R29" s="8" t="s">
        <v>216</v>
      </c>
      <c r="S29" s="8" t="s">
        <v>77</v>
      </c>
      <c r="T29" s="9">
        <v>290</v>
      </c>
      <c r="U29" s="6" t="s">
        <v>89</v>
      </c>
      <c r="V29" s="6" t="s">
        <v>34</v>
      </c>
      <c r="W29" s="10" t="s">
        <v>79</v>
      </c>
    </row>
    <row r="30" customHeight="1" spans="1:23">
      <c r="A30" s="6" t="s">
        <v>217</v>
      </c>
      <c r="B30" s="6" t="s">
        <v>218</v>
      </c>
      <c r="C30" s="6" t="s">
        <v>63</v>
      </c>
      <c r="D30" s="6" t="s">
        <v>219</v>
      </c>
      <c r="E30" s="7" t="s">
        <v>220</v>
      </c>
      <c r="F30" s="7" t="s">
        <v>221</v>
      </c>
      <c r="G30" s="6" t="s">
        <v>220</v>
      </c>
      <c r="H30" s="6" t="s">
        <v>67</v>
      </c>
      <c r="I30" s="6" t="s">
        <v>121</v>
      </c>
      <c r="J30" s="6" t="s">
        <v>122</v>
      </c>
      <c r="K30" s="8" t="s">
        <v>222</v>
      </c>
      <c r="L30" s="8" t="s">
        <v>223</v>
      </c>
      <c r="M30" s="6" t="s">
        <v>72</v>
      </c>
      <c r="N30" s="8" t="s">
        <v>222</v>
      </c>
      <c r="O30" s="8" t="s">
        <v>61</v>
      </c>
      <c r="P30" s="6" t="s">
        <v>74</v>
      </c>
      <c r="Q30" s="6" t="s">
        <v>75</v>
      </c>
      <c r="R30" s="8" t="s">
        <v>224</v>
      </c>
      <c r="S30" s="8" t="s">
        <v>77</v>
      </c>
      <c r="T30" s="9">
        <v>125.4</v>
      </c>
      <c r="U30" s="6" t="s">
        <v>78</v>
      </c>
      <c r="V30" s="6" t="s">
        <v>34</v>
      </c>
      <c r="W30" s="10" t="s">
        <v>79</v>
      </c>
    </row>
    <row r="31" customHeight="1" spans="1:23">
      <c r="A31" s="6" t="s">
        <v>225</v>
      </c>
      <c r="B31" s="6" t="s">
        <v>226</v>
      </c>
      <c r="C31" s="6" t="s">
        <v>91</v>
      </c>
      <c r="D31" s="6" t="s">
        <v>227</v>
      </c>
      <c r="E31" s="7" t="s">
        <v>228</v>
      </c>
      <c r="F31" s="7" t="s">
        <v>34</v>
      </c>
      <c r="G31" s="6" t="s">
        <v>228</v>
      </c>
      <c r="H31" s="6" t="s">
        <v>229</v>
      </c>
      <c r="I31" s="6" t="s">
        <v>112</v>
      </c>
      <c r="J31" s="6" t="s">
        <v>113</v>
      </c>
      <c r="K31" s="8" t="s">
        <v>230</v>
      </c>
      <c r="L31" s="8" t="s">
        <v>92</v>
      </c>
      <c r="M31" s="6" t="s">
        <v>93</v>
      </c>
      <c r="N31" s="8" t="s">
        <v>94</v>
      </c>
      <c r="O31" s="8" t="s">
        <v>231</v>
      </c>
      <c r="P31" s="6" t="s">
        <v>74</v>
      </c>
      <c r="Q31" s="6" t="s">
        <v>75</v>
      </c>
      <c r="R31" s="8" t="s">
        <v>95</v>
      </c>
      <c r="S31" s="8" t="s">
        <v>77</v>
      </c>
      <c r="T31" s="9">
        <v>200</v>
      </c>
      <c r="U31" s="6" t="s">
        <v>78</v>
      </c>
      <c r="V31" s="6" t="s">
        <v>34</v>
      </c>
      <c r="W31" s="10" t="s">
        <v>79</v>
      </c>
    </row>
    <row r="32" customHeight="1" spans="1:23">
      <c r="A32" s="6" t="s">
        <v>232</v>
      </c>
      <c r="B32" s="6" t="s">
        <v>226</v>
      </c>
      <c r="C32" s="6" t="s">
        <v>63</v>
      </c>
      <c r="D32" s="6" t="s">
        <v>227</v>
      </c>
      <c r="E32" s="7" t="s">
        <v>228</v>
      </c>
      <c r="F32" s="7" t="s">
        <v>34</v>
      </c>
      <c r="G32" s="6" t="s">
        <v>228</v>
      </c>
      <c r="H32" s="6" t="s">
        <v>229</v>
      </c>
      <c r="I32" s="6" t="s">
        <v>112</v>
      </c>
      <c r="J32" s="6" t="s">
        <v>113</v>
      </c>
      <c r="K32" s="8" t="s">
        <v>230</v>
      </c>
      <c r="L32" s="8" t="s">
        <v>71</v>
      </c>
      <c r="M32" s="6" t="s">
        <v>233</v>
      </c>
      <c r="N32" s="8" t="s">
        <v>230</v>
      </c>
      <c r="O32" s="8" t="s">
        <v>231</v>
      </c>
      <c r="P32" s="6" t="s">
        <v>74</v>
      </c>
      <c r="Q32" s="6" t="s">
        <v>75</v>
      </c>
      <c r="R32" s="8" t="s">
        <v>234</v>
      </c>
      <c r="S32" s="8" t="s">
        <v>77</v>
      </c>
      <c r="T32" s="9">
        <v>1180.4</v>
      </c>
      <c r="U32" s="6" t="s">
        <v>78</v>
      </c>
      <c r="V32" s="6" t="s">
        <v>34</v>
      </c>
      <c r="W32" s="10" t="s">
        <v>79</v>
      </c>
    </row>
    <row r="33" customHeight="1" spans="1:23">
      <c r="A33" s="6" t="s">
        <v>235</v>
      </c>
      <c r="B33" s="6" t="s">
        <v>236</v>
      </c>
      <c r="C33" s="6" t="s">
        <v>63</v>
      </c>
      <c r="D33" s="6" t="s">
        <v>237</v>
      </c>
      <c r="E33" s="7" t="s">
        <v>238</v>
      </c>
      <c r="F33" s="7" t="s">
        <v>34</v>
      </c>
      <c r="G33" s="6" t="s">
        <v>239</v>
      </c>
      <c r="H33" s="6" t="s">
        <v>85</v>
      </c>
      <c r="I33" s="6" t="s">
        <v>68</v>
      </c>
      <c r="J33" s="6" t="s">
        <v>69</v>
      </c>
      <c r="K33" s="8" t="s">
        <v>240</v>
      </c>
      <c r="L33" s="8" t="s">
        <v>87</v>
      </c>
      <c r="M33" s="6" t="s">
        <v>72</v>
      </c>
      <c r="N33" s="8" t="s">
        <v>240</v>
      </c>
      <c r="O33" s="8" t="s">
        <v>153</v>
      </c>
      <c r="P33" s="6" t="s">
        <v>74</v>
      </c>
      <c r="Q33" s="6" t="s">
        <v>75</v>
      </c>
      <c r="R33" s="8" t="s">
        <v>241</v>
      </c>
      <c r="S33" s="8" t="s">
        <v>77</v>
      </c>
      <c r="T33" s="9">
        <v>2172</v>
      </c>
      <c r="U33" s="6" t="s">
        <v>89</v>
      </c>
      <c r="V33" s="6" t="s">
        <v>34</v>
      </c>
      <c r="W33" s="10" t="s">
        <v>79</v>
      </c>
    </row>
    <row r="34" customHeight="1" spans="1:23">
      <c r="A34" s="6" t="s">
        <v>242</v>
      </c>
      <c r="B34" s="6" t="s">
        <v>236</v>
      </c>
      <c r="C34" s="6" t="s">
        <v>91</v>
      </c>
      <c r="D34" s="6" t="s">
        <v>237</v>
      </c>
      <c r="E34" s="7" t="s">
        <v>238</v>
      </c>
      <c r="F34" s="7" t="s">
        <v>34</v>
      </c>
      <c r="G34" s="6" t="s">
        <v>239</v>
      </c>
      <c r="H34" s="6" t="s">
        <v>85</v>
      </c>
      <c r="I34" s="6" t="s">
        <v>68</v>
      </c>
      <c r="J34" s="6" t="s">
        <v>69</v>
      </c>
      <c r="K34" s="8" t="s">
        <v>240</v>
      </c>
      <c r="L34" s="8" t="s">
        <v>92</v>
      </c>
      <c r="M34" s="6" t="s">
        <v>93</v>
      </c>
      <c r="N34" s="8" t="s">
        <v>94</v>
      </c>
      <c r="O34" s="8" t="s">
        <v>153</v>
      </c>
      <c r="P34" s="6" t="s">
        <v>74</v>
      </c>
      <c r="Q34" s="6" t="s">
        <v>75</v>
      </c>
      <c r="R34" s="8" t="s">
        <v>95</v>
      </c>
      <c r="S34" s="8" t="s">
        <v>77</v>
      </c>
      <c r="T34" s="9">
        <v>200</v>
      </c>
      <c r="U34" s="6" t="s">
        <v>89</v>
      </c>
      <c r="V34" s="6" t="s">
        <v>34</v>
      </c>
      <c r="W34" s="10" t="s">
        <v>79</v>
      </c>
    </row>
    <row r="35" customHeight="1" spans="1:23">
      <c r="A35" s="6" t="s">
        <v>243</v>
      </c>
      <c r="B35" s="6" t="s">
        <v>244</v>
      </c>
      <c r="C35" s="6" t="s">
        <v>63</v>
      </c>
      <c r="D35" s="6" t="s">
        <v>245</v>
      </c>
      <c r="E35" s="7" t="s">
        <v>246</v>
      </c>
      <c r="F35" s="7" t="s">
        <v>247</v>
      </c>
      <c r="G35" s="6" t="s">
        <v>246</v>
      </c>
      <c r="H35" s="6" t="s">
        <v>85</v>
      </c>
      <c r="I35" s="6" t="s">
        <v>248</v>
      </c>
      <c r="J35" s="6" t="s">
        <v>249</v>
      </c>
      <c r="K35" s="8" t="s">
        <v>250</v>
      </c>
      <c r="L35" s="8" t="s">
        <v>142</v>
      </c>
      <c r="M35" s="6" t="s">
        <v>72</v>
      </c>
      <c r="N35" s="8" t="s">
        <v>250</v>
      </c>
      <c r="O35" s="8" t="s">
        <v>107</v>
      </c>
      <c r="P35" s="6" t="s">
        <v>74</v>
      </c>
      <c r="Q35" s="6" t="s">
        <v>75</v>
      </c>
      <c r="R35" s="8" t="s">
        <v>251</v>
      </c>
      <c r="S35" s="8" t="s">
        <v>77</v>
      </c>
      <c r="T35" s="9">
        <v>1508</v>
      </c>
      <c r="U35" s="6" t="s">
        <v>89</v>
      </c>
      <c r="V35" s="6" t="s">
        <v>34</v>
      </c>
      <c r="W35" s="10" t="s">
        <v>79</v>
      </c>
    </row>
    <row r="36" customHeight="1" spans="1:23">
      <c r="A36" s="6" t="s">
        <v>252</v>
      </c>
      <c r="B36" s="6" t="s">
        <v>253</v>
      </c>
      <c r="C36" s="6" t="s">
        <v>63</v>
      </c>
      <c r="D36" s="6" t="s">
        <v>254</v>
      </c>
      <c r="E36" s="7" t="s">
        <v>255</v>
      </c>
      <c r="F36" s="7" t="s">
        <v>256</v>
      </c>
      <c r="G36" s="6" t="s">
        <v>255</v>
      </c>
      <c r="H36" s="6" t="s">
        <v>257</v>
      </c>
      <c r="I36" s="6" t="s">
        <v>159</v>
      </c>
      <c r="J36" s="6" t="s">
        <v>160</v>
      </c>
      <c r="K36" s="8" t="s">
        <v>258</v>
      </c>
      <c r="L36" s="8" t="s">
        <v>259</v>
      </c>
      <c r="M36" s="6" t="s">
        <v>72</v>
      </c>
      <c r="N36" s="8" t="s">
        <v>258</v>
      </c>
      <c r="O36" s="8" t="s">
        <v>96</v>
      </c>
      <c r="P36" s="6" t="s">
        <v>74</v>
      </c>
      <c r="Q36" s="6" t="s">
        <v>75</v>
      </c>
      <c r="R36" s="8" t="s">
        <v>260</v>
      </c>
      <c r="S36" s="8" t="s">
        <v>77</v>
      </c>
      <c r="T36" s="9">
        <v>468</v>
      </c>
      <c r="U36" s="6" t="s">
        <v>78</v>
      </c>
      <c r="V36" s="6" t="s">
        <v>34</v>
      </c>
      <c r="W36" s="10" t="s">
        <v>79</v>
      </c>
    </row>
    <row r="37" customHeight="1" spans="1:23">
      <c r="A37" s="6" t="s">
        <v>261</v>
      </c>
      <c r="B37" s="6" t="s">
        <v>262</v>
      </c>
      <c r="C37" s="6" t="s">
        <v>63</v>
      </c>
      <c r="D37" s="6" t="s">
        <v>263</v>
      </c>
      <c r="E37" s="7" t="s">
        <v>264</v>
      </c>
      <c r="F37" s="7" t="s">
        <v>265</v>
      </c>
      <c r="G37" s="6" t="s">
        <v>264</v>
      </c>
      <c r="H37" s="6" t="s">
        <v>85</v>
      </c>
      <c r="I37" s="6" t="s">
        <v>121</v>
      </c>
      <c r="J37" s="6" t="s">
        <v>122</v>
      </c>
      <c r="K37" s="8" t="s">
        <v>266</v>
      </c>
      <c r="L37" s="8" t="s">
        <v>142</v>
      </c>
      <c r="M37" s="6" t="s">
        <v>72</v>
      </c>
      <c r="N37" s="8" t="s">
        <v>266</v>
      </c>
      <c r="O37" s="8" t="s">
        <v>164</v>
      </c>
      <c r="P37" s="6" t="s">
        <v>74</v>
      </c>
      <c r="Q37" s="6" t="s">
        <v>75</v>
      </c>
      <c r="R37" s="8" t="s">
        <v>267</v>
      </c>
      <c r="S37" s="8" t="s">
        <v>77</v>
      </c>
      <c r="T37" s="9">
        <v>2028</v>
      </c>
      <c r="U37" s="6" t="s">
        <v>89</v>
      </c>
      <c r="V37" s="6" t="s">
        <v>34</v>
      </c>
      <c r="W37" s="10" t="s">
        <v>79</v>
      </c>
    </row>
    <row r="38" customHeight="1" spans="1:23">
      <c r="A38" s="6" t="s">
        <v>231</v>
      </c>
      <c r="B38" s="6" t="s">
        <v>268</v>
      </c>
      <c r="C38" s="6" t="s">
        <v>91</v>
      </c>
      <c r="D38" s="6" t="s">
        <v>269</v>
      </c>
      <c r="E38" s="7" t="s">
        <v>270</v>
      </c>
      <c r="F38" s="7" t="s">
        <v>34</v>
      </c>
      <c r="G38" s="6" t="s">
        <v>271</v>
      </c>
      <c r="H38" s="6" t="s">
        <v>85</v>
      </c>
      <c r="I38" s="6" t="s">
        <v>68</v>
      </c>
      <c r="J38" s="6" t="s">
        <v>69</v>
      </c>
      <c r="K38" s="8" t="s">
        <v>272</v>
      </c>
      <c r="L38" s="8" t="s">
        <v>92</v>
      </c>
      <c r="M38" s="6" t="s">
        <v>93</v>
      </c>
      <c r="N38" s="8" t="s">
        <v>94</v>
      </c>
      <c r="O38" s="8" t="s">
        <v>136</v>
      </c>
      <c r="P38" s="6" t="s">
        <v>74</v>
      </c>
      <c r="Q38" s="6" t="s">
        <v>75</v>
      </c>
      <c r="R38" s="8" t="s">
        <v>95</v>
      </c>
      <c r="S38" s="8" t="s">
        <v>77</v>
      </c>
      <c r="T38" s="9">
        <v>200</v>
      </c>
      <c r="U38" s="6" t="s">
        <v>89</v>
      </c>
      <c r="V38" s="6" t="s">
        <v>34</v>
      </c>
      <c r="W38" s="10" t="s">
        <v>79</v>
      </c>
    </row>
    <row r="39" customHeight="1" spans="1:23">
      <c r="A39" s="6" t="s">
        <v>273</v>
      </c>
      <c r="B39" s="6" t="s">
        <v>268</v>
      </c>
      <c r="C39" s="6" t="s">
        <v>63</v>
      </c>
      <c r="D39" s="6" t="s">
        <v>269</v>
      </c>
      <c r="E39" s="7" t="s">
        <v>270</v>
      </c>
      <c r="F39" s="7" t="s">
        <v>34</v>
      </c>
      <c r="G39" s="6" t="s">
        <v>271</v>
      </c>
      <c r="H39" s="6" t="s">
        <v>85</v>
      </c>
      <c r="I39" s="6" t="s">
        <v>68</v>
      </c>
      <c r="J39" s="6" t="s">
        <v>69</v>
      </c>
      <c r="K39" s="8" t="s">
        <v>272</v>
      </c>
      <c r="L39" s="8" t="s">
        <v>87</v>
      </c>
      <c r="M39" s="6" t="s">
        <v>72</v>
      </c>
      <c r="N39" s="8" t="s">
        <v>272</v>
      </c>
      <c r="O39" s="8" t="s">
        <v>136</v>
      </c>
      <c r="P39" s="6" t="s">
        <v>74</v>
      </c>
      <c r="Q39" s="6" t="s">
        <v>75</v>
      </c>
      <c r="R39" s="8" t="s">
        <v>274</v>
      </c>
      <c r="S39" s="8" t="s">
        <v>77</v>
      </c>
      <c r="T39" s="9">
        <v>1836</v>
      </c>
      <c r="U39" s="6" t="s">
        <v>89</v>
      </c>
      <c r="V39" s="6" t="s">
        <v>34</v>
      </c>
      <c r="W39" s="10" t="s">
        <v>79</v>
      </c>
    </row>
    <row r="40" customHeight="1" spans="1:23">
      <c r="A40" s="6" t="s">
        <v>275</v>
      </c>
      <c r="B40" s="6" t="s">
        <v>276</v>
      </c>
      <c r="C40" s="6" t="s">
        <v>63</v>
      </c>
      <c r="D40" s="6" t="s">
        <v>277</v>
      </c>
      <c r="E40" s="7" t="s">
        <v>278</v>
      </c>
      <c r="F40" s="7" t="s">
        <v>34</v>
      </c>
      <c r="G40" s="6" t="s">
        <v>279</v>
      </c>
      <c r="H40" s="6" t="s">
        <v>67</v>
      </c>
      <c r="I40" s="6" t="s">
        <v>68</v>
      </c>
      <c r="J40" s="6" t="s">
        <v>69</v>
      </c>
      <c r="K40" s="8" t="s">
        <v>280</v>
      </c>
      <c r="L40" s="8" t="s">
        <v>71</v>
      </c>
      <c r="M40" s="6" t="s">
        <v>72</v>
      </c>
      <c r="N40" s="8" t="s">
        <v>280</v>
      </c>
      <c r="O40" s="8" t="s">
        <v>153</v>
      </c>
      <c r="P40" s="6" t="s">
        <v>74</v>
      </c>
      <c r="Q40" s="6" t="s">
        <v>75</v>
      </c>
      <c r="R40" s="8" t="s">
        <v>281</v>
      </c>
      <c r="S40" s="8" t="s">
        <v>77</v>
      </c>
      <c r="T40" s="9">
        <v>936</v>
      </c>
      <c r="U40" s="6" t="s">
        <v>78</v>
      </c>
      <c r="V40" s="6" t="s">
        <v>34</v>
      </c>
      <c r="W40" s="10" t="s">
        <v>79</v>
      </c>
    </row>
    <row r="41" customHeight="1" spans="1:23">
      <c r="A41" s="6" t="s">
        <v>282</v>
      </c>
      <c r="B41" s="6" t="s">
        <v>276</v>
      </c>
      <c r="C41" s="6" t="s">
        <v>91</v>
      </c>
      <c r="D41" s="6" t="s">
        <v>277</v>
      </c>
      <c r="E41" s="7" t="s">
        <v>278</v>
      </c>
      <c r="F41" s="7" t="s">
        <v>34</v>
      </c>
      <c r="G41" s="6" t="s">
        <v>279</v>
      </c>
      <c r="H41" s="6" t="s">
        <v>67</v>
      </c>
      <c r="I41" s="6" t="s">
        <v>68</v>
      </c>
      <c r="J41" s="6" t="s">
        <v>69</v>
      </c>
      <c r="K41" s="8" t="s">
        <v>280</v>
      </c>
      <c r="L41" s="8">
        <v>200</v>
      </c>
      <c r="M41" s="6" t="s">
        <v>93</v>
      </c>
      <c r="N41" s="8" t="s">
        <v>94</v>
      </c>
      <c r="O41" s="8" t="s">
        <v>153</v>
      </c>
      <c r="P41" s="6" t="s">
        <v>74</v>
      </c>
      <c r="Q41" s="6" t="s">
        <v>75</v>
      </c>
      <c r="R41" s="8">
        <v>200</v>
      </c>
      <c r="S41" s="8" t="s">
        <v>77</v>
      </c>
      <c r="T41" s="11">
        <v>200</v>
      </c>
      <c r="U41" s="6" t="s">
        <v>78</v>
      </c>
      <c r="V41" s="6" t="s">
        <v>34</v>
      </c>
      <c r="W41" s="10" t="s">
        <v>79</v>
      </c>
    </row>
    <row r="42" customHeight="1" spans="1:23">
      <c r="A42" s="6" t="s">
        <v>283</v>
      </c>
      <c r="B42" s="6" t="s">
        <v>284</v>
      </c>
      <c r="C42" s="6" t="s">
        <v>63</v>
      </c>
      <c r="D42" s="6" t="s">
        <v>285</v>
      </c>
      <c r="E42" s="7" t="s">
        <v>286</v>
      </c>
      <c r="F42" s="7" t="s">
        <v>34</v>
      </c>
      <c r="G42" s="6" t="s">
        <v>287</v>
      </c>
      <c r="H42" s="6" t="s">
        <v>85</v>
      </c>
      <c r="I42" s="6" t="s">
        <v>101</v>
      </c>
      <c r="J42" s="6" t="s">
        <v>102</v>
      </c>
      <c r="K42" s="8" t="s">
        <v>288</v>
      </c>
      <c r="L42" s="8" t="s">
        <v>170</v>
      </c>
      <c r="M42" s="6" t="s">
        <v>72</v>
      </c>
      <c r="N42" s="8" t="s">
        <v>288</v>
      </c>
      <c r="O42" s="8" t="s">
        <v>126</v>
      </c>
      <c r="P42" s="6" t="s">
        <v>74</v>
      </c>
      <c r="Q42" s="6" t="s">
        <v>75</v>
      </c>
      <c r="R42" s="8" t="s">
        <v>289</v>
      </c>
      <c r="S42" s="8" t="s">
        <v>77</v>
      </c>
      <c r="T42" s="9">
        <v>1612.5</v>
      </c>
      <c r="U42" s="6" t="s">
        <v>89</v>
      </c>
      <c r="V42" s="6" t="s">
        <v>34</v>
      </c>
      <c r="W42" s="10" t="s">
        <v>79</v>
      </c>
    </row>
    <row r="43" customHeight="1" spans="1:23">
      <c r="A43" s="6" t="s">
        <v>290</v>
      </c>
      <c r="B43" s="6" t="s">
        <v>291</v>
      </c>
      <c r="C43" s="6" t="s">
        <v>63</v>
      </c>
      <c r="D43" s="6" t="s">
        <v>292</v>
      </c>
      <c r="E43" s="7" t="s">
        <v>293</v>
      </c>
      <c r="F43" s="7" t="s">
        <v>34</v>
      </c>
      <c r="G43" s="6" t="s">
        <v>294</v>
      </c>
      <c r="H43" s="6" t="s">
        <v>85</v>
      </c>
      <c r="I43" s="6" t="s">
        <v>68</v>
      </c>
      <c r="J43" s="6" t="s">
        <v>69</v>
      </c>
      <c r="K43" s="8" t="s">
        <v>295</v>
      </c>
      <c r="L43" s="8" t="s">
        <v>87</v>
      </c>
      <c r="M43" s="6" t="s">
        <v>72</v>
      </c>
      <c r="N43" s="8" t="s">
        <v>295</v>
      </c>
      <c r="O43" s="8" t="s">
        <v>80</v>
      </c>
      <c r="P43" s="6" t="s">
        <v>74</v>
      </c>
      <c r="Q43" s="6" t="s">
        <v>75</v>
      </c>
      <c r="R43" s="8" t="s">
        <v>296</v>
      </c>
      <c r="S43" s="8" t="s">
        <v>77</v>
      </c>
      <c r="T43" s="9">
        <v>288</v>
      </c>
      <c r="U43" s="6" t="s">
        <v>89</v>
      </c>
      <c r="V43" s="6" t="s">
        <v>34</v>
      </c>
      <c r="W43" s="10" t="s">
        <v>79</v>
      </c>
    </row>
    <row r="44" customHeight="1" spans="1:23">
      <c r="A44" s="6" t="s">
        <v>297</v>
      </c>
      <c r="B44" s="6" t="s">
        <v>298</v>
      </c>
      <c r="C44" s="6" t="s">
        <v>63</v>
      </c>
      <c r="D44" s="6" t="s">
        <v>299</v>
      </c>
      <c r="E44" s="7" t="s">
        <v>300</v>
      </c>
      <c r="F44" s="7" t="s">
        <v>34</v>
      </c>
      <c r="G44" s="6" t="s">
        <v>301</v>
      </c>
      <c r="H44" s="6" t="s">
        <v>67</v>
      </c>
      <c r="I44" s="6" t="s">
        <v>101</v>
      </c>
      <c r="J44" s="6" t="s">
        <v>102</v>
      </c>
      <c r="K44" s="8" t="s">
        <v>258</v>
      </c>
      <c r="L44" s="8" t="s">
        <v>104</v>
      </c>
      <c r="M44" s="6" t="s">
        <v>72</v>
      </c>
      <c r="N44" s="8" t="s">
        <v>258</v>
      </c>
      <c r="O44" s="8" t="s">
        <v>96</v>
      </c>
      <c r="P44" s="6" t="s">
        <v>74</v>
      </c>
      <c r="Q44" s="6" t="s">
        <v>75</v>
      </c>
      <c r="R44" s="8" t="s">
        <v>302</v>
      </c>
      <c r="S44" s="8" t="s">
        <v>77</v>
      </c>
      <c r="T44" s="9">
        <v>360</v>
      </c>
      <c r="U44" s="6" t="s">
        <v>78</v>
      </c>
      <c r="V44" s="6" t="s">
        <v>34</v>
      </c>
      <c r="W44" s="10" t="s">
        <v>79</v>
      </c>
    </row>
    <row r="45" customHeight="1" spans="1:23">
      <c r="A45" s="6" t="s">
        <v>303</v>
      </c>
      <c r="B45" s="6" t="s">
        <v>304</v>
      </c>
      <c r="C45" s="6" t="s">
        <v>63</v>
      </c>
      <c r="D45" s="6" t="s">
        <v>305</v>
      </c>
      <c r="E45" s="7" t="s">
        <v>306</v>
      </c>
      <c r="F45" s="7" t="s">
        <v>34</v>
      </c>
      <c r="G45" s="6" t="s">
        <v>307</v>
      </c>
      <c r="H45" s="6" t="s">
        <v>67</v>
      </c>
      <c r="I45" s="6" t="s">
        <v>131</v>
      </c>
      <c r="J45" s="6" t="s">
        <v>132</v>
      </c>
      <c r="K45" s="8" t="s">
        <v>308</v>
      </c>
      <c r="L45" s="8" t="s">
        <v>182</v>
      </c>
      <c r="M45" s="6" t="s">
        <v>72</v>
      </c>
      <c r="N45" s="8" t="s">
        <v>308</v>
      </c>
      <c r="O45" s="8" t="s">
        <v>90</v>
      </c>
      <c r="P45" s="6" t="s">
        <v>74</v>
      </c>
      <c r="Q45" s="6" t="s">
        <v>75</v>
      </c>
      <c r="R45" s="8" t="s">
        <v>309</v>
      </c>
      <c r="S45" s="8" t="s">
        <v>77</v>
      </c>
      <c r="T45" s="9">
        <v>269.5</v>
      </c>
      <c r="U45" s="6" t="s">
        <v>78</v>
      </c>
      <c r="V45" s="6" t="s">
        <v>34</v>
      </c>
      <c r="W45" s="10" t="s">
        <v>79</v>
      </c>
    </row>
    <row r="46" customHeight="1" spans="1:23">
      <c r="A46" s="6" t="s">
        <v>310</v>
      </c>
      <c r="B46" s="6" t="s">
        <v>311</v>
      </c>
      <c r="C46" s="6" t="s">
        <v>63</v>
      </c>
      <c r="D46" s="6" t="s">
        <v>312</v>
      </c>
      <c r="E46" s="7" t="s">
        <v>313</v>
      </c>
      <c r="F46" s="7" t="s">
        <v>34</v>
      </c>
      <c r="G46" s="6" t="s">
        <v>313</v>
      </c>
      <c r="H46" s="6" t="s">
        <v>85</v>
      </c>
      <c r="I46" s="6" t="s">
        <v>131</v>
      </c>
      <c r="J46" s="6" t="s">
        <v>132</v>
      </c>
      <c r="K46" s="8" t="s">
        <v>123</v>
      </c>
      <c r="L46" s="8" t="s">
        <v>195</v>
      </c>
      <c r="M46" s="6" t="s">
        <v>72</v>
      </c>
      <c r="N46" s="8" t="s">
        <v>123</v>
      </c>
      <c r="O46" s="8" t="s">
        <v>61</v>
      </c>
      <c r="P46" s="6" t="s">
        <v>74</v>
      </c>
      <c r="Q46" s="6" t="s">
        <v>75</v>
      </c>
      <c r="R46" s="8" t="s">
        <v>196</v>
      </c>
      <c r="S46" s="8" t="s">
        <v>77</v>
      </c>
      <c r="T46" s="9">
        <v>270</v>
      </c>
      <c r="U46" s="6" t="s">
        <v>89</v>
      </c>
      <c r="V46" s="6" t="s">
        <v>34</v>
      </c>
      <c r="W46" s="10" t="s">
        <v>79</v>
      </c>
    </row>
    <row r="47" customHeight="1" spans="1:23">
      <c r="A47" s="6" t="s">
        <v>314</v>
      </c>
      <c r="B47" s="6" t="s">
        <v>315</v>
      </c>
      <c r="C47" s="6" t="s">
        <v>63</v>
      </c>
      <c r="D47" s="6" t="s">
        <v>316</v>
      </c>
      <c r="E47" s="7" t="s">
        <v>317</v>
      </c>
      <c r="F47" s="7" t="s">
        <v>34</v>
      </c>
      <c r="G47" s="6" t="s">
        <v>318</v>
      </c>
      <c r="H47" s="6" t="s">
        <v>85</v>
      </c>
      <c r="I47" s="6" t="s">
        <v>319</v>
      </c>
      <c r="J47" s="6" t="s">
        <v>320</v>
      </c>
      <c r="K47" s="8" t="s">
        <v>321</v>
      </c>
      <c r="L47" s="8" t="s">
        <v>170</v>
      </c>
      <c r="M47" s="6" t="s">
        <v>72</v>
      </c>
      <c r="N47" s="8" t="s">
        <v>321</v>
      </c>
      <c r="O47" s="8" t="s">
        <v>164</v>
      </c>
      <c r="P47" s="6" t="s">
        <v>74</v>
      </c>
      <c r="Q47" s="6" t="s">
        <v>75</v>
      </c>
      <c r="R47" s="8" t="s">
        <v>322</v>
      </c>
      <c r="S47" s="8" t="s">
        <v>77</v>
      </c>
      <c r="T47" s="9">
        <v>2575</v>
      </c>
      <c r="U47" s="6" t="s">
        <v>323</v>
      </c>
      <c r="V47" s="6" t="s">
        <v>34</v>
      </c>
      <c r="W47" s="10" t="s">
        <v>79</v>
      </c>
    </row>
    <row r="48" customHeight="1" spans="1:23">
      <c r="A48" s="6" t="s">
        <v>324</v>
      </c>
      <c r="B48" s="6" t="s">
        <v>325</v>
      </c>
      <c r="C48" s="6" t="s">
        <v>63</v>
      </c>
      <c r="D48" s="6" t="s">
        <v>326</v>
      </c>
      <c r="E48" s="7" t="s">
        <v>327</v>
      </c>
      <c r="F48" s="7" t="s">
        <v>34</v>
      </c>
      <c r="G48" s="6" t="s">
        <v>327</v>
      </c>
      <c r="H48" s="6" t="s">
        <v>85</v>
      </c>
      <c r="I48" s="6" t="s">
        <v>131</v>
      </c>
      <c r="J48" s="6" t="s">
        <v>132</v>
      </c>
      <c r="K48" s="8" t="s">
        <v>123</v>
      </c>
      <c r="L48" s="8" t="s">
        <v>195</v>
      </c>
      <c r="M48" s="6" t="s">
        <v>72</v>
      </c>
      <c r="N48" s="8" t="s">
        <v>123</v>
      </c>
      <c r="O48" s="8" t="s">
        <v>61</v>
      </c>
      <c r="P48" s="6" t="s">
        <v>74</v>
      </c>
      <c r="Q48" s="6" t="s">
        <v>75</v>
      </c>
      <c r="R48" s="8" t="s">
        <v>196</v>
      </c>
      <c r="S48" s="8" t="s">
        <v>77</v>
      </c>
      <c r="T48" s="9">
        <v>270</v>
      </c>
      <c r="U48" s="6" t="s">
        <v>89</v>
      </c>
      <c r="V48" s="6" t="s">
        <v>34</v>
      </c>
      <c r="W48" s="10" t="s">
        <v>79</v>
      </c>
    </row>
    <row r="49" customHeight="1" spans="1:23">
      <c r="A49" s="6" t="s">
        <v>328</v>
      </c>
      <c r="B49" s="6" t="s">
        <v>329</v>
      </c>
      <c r="C49" s="6" t="s">
        <v>91</v>
      </c>
      <c r="D49" s="6" t="s">
        <v>330</v>
      </c>
      <c r="E49" s="7" t="s">
        <v>331</v>
      </c>
      <c r="F49" s="7" t="s">
        <v>34</v>
      </c>
      <c r="G49" s="6" t="s">
        <v>332</v>
      </c>
      <c r="H49" s="6" t="s">
        <v>85</v>
      </c>
      <c r="I49" s="6" t="s">
        <v>131</v>
      </c>
      <c r="J49" s="6" t="s">
        <v>132</v>
      </c>
      <c r="K49" s="8" t="s">
        <v>333</v>
      </c>
      <c r="L49" s="8" t="s">
        <v>92</v>
      </c>
      <c r="M49" s="6" t="s">
        <v>93</v>
      </c>
      <c r="N49" s="8" t="s">
        <v>94</v>
      </c>
      <c r="O49" s="8" t="s">
        <v>90</v>
      </c>
      <c r="P49" s="6" t="s">
        <v>74</v>
      </c>
      <c r="Q49" s="6" t="s">
        <v>75</v>
      </c>
      <c r="R49" s="8" t="s">
        <v>95</v>
      </c>
      <c r="S49" s="8" t="s">
        <v>77</v>
      </c>
      <c r="T49" s="9">
        <v>200</v>
      </c>
      <c r="U49" s="6" t="s">
        <v>89</v>
      </c>
      <c r="V49" s="6" t="s">
        <v>34</v>
      </c>
      <c r="W49" s="10" t="s">
        <v>79</v>
      </c>
    </row>
    <row r="50" customHeight="1" spans="1:23">
      <c r="A50" s="6" t="s">
        <v>334</v>
      </c>
      <c r="B50" s="6" t="s">
        <v>329</v>
      </c>
      <c r="C50" s="6" t="s">
        <v>63</v>
      </c>
      <c r="D50" s="6" t="s">
        <v>330</v>
      </c>
      <c r="E50" s="7" t="s">
        <v>331</v>
      </c>
      <c r="F50" s="7" t="s">
        <v>34</v>
      </c>
      <c r="G50" s="6" t="s">
        <v>332</v>
      </c>
      <c r="H50" s="6" t="s">
        <v>85</v>
      </c>
      <c r="I50" s="6" t="s">
        <v>131</v>
      </c>
      <c r="J50" s="6" t="s">
        <v>132</v>
      </c>
      <c r="K50" s="8" t="s">
        <v>333</v>
      </c>
      <c r="L50" s="8" t="s">
        <v>170</v>
      </c>
      <c r="M50" s="6" t="s">
        <v>72</v>
      </c>
      <c r="N50" s="8" t="s">
        <v>333</v>
      </c>
      <c r="O50" s="8" t="s">
        <v>90</v>
      </c>
      <c r="P50" s="6" t="s">
        <v>74</v>
      </c>
      <c r="Q50" s="6" t="s">
        <v>75</v>
      </c>
      <c r="R50" s="8" t="s">
        <v>335</v>
      </c>
      <c r="S50" s="8" t="s">
        <v>77</v>
      </c>
      <c r="T50" s="9">
        <v>587.5</v>
      </c>
      <c r="U50" s="6" t="s">
        <v>89</v>
      </c>
      <c r="V50" s="6" t="s">
        <v>34</v>
      </c>
      <c r="W50" s="10" t="s">
        <v>79</v>
      </c>
    </row>
    <row r="51" customHeight="1" spans="1:23">
      <c r="A51" s="6" t="s">
        <v>336</v>
      </c>
      <c r="B51" s="6" t="s">
        <v>337</v>
      </c>
      <c r="C51" s="6" t="s">
        <v>63</v>
      </c>
      <c r="D51" s="6" t="s">
        <v>338</v>
      </c>
      <c r="E51" s="7" t="s">
        <v>339</v>
      </c>
      <c r="F51" s="7" t="s">
        <v>340</v>
      </c>
      <c r="G51" s="6" t="s">
        <v>341</v>
      </c>
      <c r="H51" s="6" t="s">
        <v>85</v>
      </c>
      <c r="I51" s="6" t="s">
        <v>121</v>
      </c>
      <c r="J51" s="6" t="s">
        <v>122</v>
      </c>
      <c r="K51" s="8" t="s">
        <v>342</v>
      </c>
      <c r="L51" s="8" t="s">
        <v>343</v>
      </c>
      <c r="M51" s="6" t="s">
        <v>72</v>
      </c>
      <c r="N51" s="8" t="s">
        <v>342</v>
      </c>
      <c r="O51" s="8" t="s">
        <v>80</v>
      </c>
      <c r="P51" s="6" t="s">
        <v>74</v>
      </c>
      <c r="Q51" s="6" t="s">
        <v>75</v>
      </c>
      <c r="R51" s="8" t="s">
        <v>344</v>
      </c>
      <c r="S51" s="8" t="s">
        <v>77</v>
      </c>
      <c r="T51" s="9">
        <v>462</v>
      </c>
      <c r="U51" s="6" t="s">
        <v>89</v>
      </c>
      <c r="V51" s="6" t="s">
        <v>34</v>
      </c>
      <c r="W51" s="10" t="s">
        <v>79</v>
      </c>
    </row>
    <row r="52" customHeight="1" spans="1:23">
      <c r="A52" s="6" t="s">
        <v>345</v>
      </c>
      <c r="B52" s="6" t="s">
        <v>346</v>
      </c>
      <c r="C52" s="6" t="s">
        <v>91</v>
      </c>
      <c r="D52" s="6" t="s">
        <v>347</v>
      </c>
      <c r="E52" s="7" t="s">
        <v>348</v>
      </c>
      <c r="F52" s="7" t="s">
        <v>34</v>
      </c>
      <c r="G52" s="6" t="s">
        <v>349</v>
      </c>
      <c r="H52" s="6" t="s">
        <v>67</v>
      </c>
      <c r="I52" s="6" t="s">
        <v>131</v>
      </c>
      <c r="J52" s="6" t="s">
        <v>132</v>
      </c>
      <c r="K52" s="8" t="s">
        <v>350</v>
      </c>
      <c r="L52" s="8" t="s">
        <v>92</v>
      </c>
      <c r="M52" s="6" t="s">
        <v>93</v>
      </c>
      <c r="N52" s="8" t="s">
        <v>94</v>
      </c>
      <c r="O52" s="8" t="s">
        <v>80</v>
      </c>
      <c r="P52" s="6" t="s">
        <v>74</v>
      </c>
      <c r="Q52" s="6" t="s">
        <v>75</v>
      </c>
      <c r="R52" s="8" t="s">
        <v>95</v>
      </c>
      <c r="S52" s="8" t="s">
        <v>77</v>
      </c>
      <c r="T52" s="9">
        <v>200</v>
      </c>
      <c r="U52" s="6" t="s">
        <v>78</v>
      </c>
      <c r="V52" s="6" t="s">
        <v>34</v>
      </c>
      <c r="W52" s="10" t="s">
        <v>79</v>
      </c>
    </row>
    <row r="53" customHeight="1" spans="1:23">
      <c r="A53" s="6" t="s">
        <v>351</v>
      </c>
      <c r="B53" s="6" t="s">
        <v>346</v>
      </c>
      <c r="C53" s="6" t="s">
        <v>63</v>
      </c>
      <c r="D53" s="6" t="s">
        <v>347</v>
      </c>
      <c r="E53" s="7" t="s">
        <v>348</v>
      </c>
      <c r="F53" s="7" t="s">
        <v>34</v>
      </c>
      <c r="G53" s="6" t="s">
        <v>349</v>
      </c>
      <c r="H53" s="6" t="s">
        <v>67</v>
      </c>
      <c r="I53" s="6" t="s">
        <v>131</v>
      </c>
      <c r="J53" s="6" t="s">
        <v>132</v>
      </c>
      <c r="K53" s="8" t="s">
        <v>350</v>
      </c>
      <c r="L53" s="8" t="s">
        <v>182</v>
      </c>
      <c r="M53" s="6" t="s">
        <v>72</v>
      </c>
      <c r="N53" s="8" t="s">
        <v>350</v>
      </c>
      <c r="O53" s="8" t="s">
        <v>80</v>
      </c>
      <c r="P53" s="6" t="s">
        <v>74</v>
      </c>
      <c r="Q53" s="6" t="s">
        <v>75</v>
      </c>
      <c r="R53" s="8" t="s">
        <v>352</v>
      </c>
      <c r="S53" s="8" t="s">
        <v>77</v>
      </c>
      <c r="T53" s="9">
        <v>132.3</v>
      </c>
      <c r="U53" s="6" t="s">
        <v>78</v>
      </c>
      <c r="V53" s="6" t="s">
        <v>34</v>
      </c>
      <c r="W53" s="10" t="s">
        <v>79</v>
      </c>
    </row>
    <row r="54" customHeight="1" spans="1:23">
      <c r="A54" s="6" t="s">
        <v>353</v>
      </c>
      <c r="B54" s="6" t="s">
        <v>354</v>
      </c>
      <c r="C54" s="6" t="s">
        <v>91</v>
      </c>
      <c r="D54" s="6" t="s">
        <v>355</v>
      </c>
      <c r="E54" s="7" t="s">
        <v>356</v>
      </c>
      <c r="F54" s="7" t="s">
        <v>34</v>
      </c>
      <c r="G54" s="6" t="s">
        <v>357</v>
      </c>
      <c r="H54" s="6" t="s">
        <v>67</v>
      </c>
      <c r="I54" s="6" t="s">
        <v>68</v>
      </c>
      <c r="J54" s="6" t="s">
        <v>69</v>
      </c>
      <c r="K54" s="8" t="s">
        <v>358</v>
      </c>
      <c r="L54" s="8" t="s">
        <v>92</v>
      </c>
      <c r="M54" s="6" t="s">
        <v>93</v>
      </c>
      <c r="N54" s="8" t="s">
        <v>94</v>
      </c>
      <c r="O54" s="8" t="s">
        <v>136</v>
      </c>
      <c r="P54" s="6" t="s">
        <v>74</v>
      </c>
      <c r="Q54" s="6" t="s">
        <v>75</v>
      </c>
      <c r="R54" s="8" t="s">
        <v>95</v>
      </c>
      <c r="S54" s="8" t="s">
        <v>77</v>
      </c>
      <c r="T54" s="9">
        <v>200</v>
      </c>
      <c r="U54" s="6" t="s">
        <v>78</v>
      </c>
      <c r="V54" s="6" t="s">
        <v>34</v>
      </c>
      <c r="W54" s="10" t="s">
        <v>79</v>
      </c>
    </row>
    <row r="55" customHeight="1" spans="1:23">
      <c r="A55" s="6" t="s">
        <v>359</v>
      </c>
      <c r="B55" s="6" t="s">
        <v>354</v>
      </c>
      <c r="C55" s="6" t="s">
        <v>63</v>
      </c>
      <c r="D55" s="6" t="s">
        <v>355</v>
      </c>
      <c r="E55" s="7" t="s">
        <v>356</v>
      </c>
      <c r="F55" s="7" t="s">
        <v>34</v>
      </c>
      <c r="G55" s="6" t="s">
        <v>357</v>
      </c>
      <c r="H55" s="6" t="s">
        <v>67</v>
      </c>
      <c r="I55" s="6" t="s">
        <v>68</v>
      </c>
      <c r="J55" s="6" t="s">
        <v>69</v>
      </c>
      <c r="K55" s="8" t="s">
        <v>358</v>
      </c>
      <c r="L55" s="8" t="s">
        <v>71</v>
      </c>
      <c r="M55" s="6" t="s">
        <v>72</v>
      </c>
      <c r="N55" s="8" t="s">
        <v>358</v>
      </c>
      <c r="O55" s="8" t="s">
        <v>136</v>
      </c>
      <c r="P55" s="6" t="s">
        <v>74</v>
      </c>
      <c r="Q55" s="6" t="s">
        <v>75</v>
      </c>
      <c r="R55" s="8" t="s">
        <v>360</v>
      </c>
      <c r="S55" s="8" t="s">
        <v>77</v>
      </c>
      <c r="T55" s="9">
        <v>650</v>
      </c>
      <c r="U55" s="6" t="s">
        <v>78</v>
      </c>
      <c r="V55" s="6" t="s">
        <v>34</v>
      </c>
      <c r="W55" s="10" t="s">
        <v>79</v>
      </c>
    </row>
    <row r="56" customHeight="1" spans="1:23">
      <c r="A56" s="6" t="s">
        <v>361</v>
      </c>
      <c r="B56" s="6" t="s">
        <v>362</v>
      </c>
      <c r="C56" s="6" t="s">
        <v>63</v>
      </c>
      <c r="D56" s="6" t="s">
        <v>363</v>
      </c>
      <c r="E56" s="7" t="s">
        <v>364</v>
      </c>
      <c r="F56" s="7" t="s">
        <v>34</v>
      </c>
      <c r="G56" s="6" t="s">
        <v>364</v>
      </c>
      <c r="H56" s="6" t="s">
        <v>85</v>
      </c>
      <c r="I56" s="6" t="s">
        <v>101</v>
      </c>
      <c r="J56" s="6" t="s">
        <v>102</v>
      </c>
      <c r="K56" s="8" t="s">
        <v>123</v>
      </c>
      <c r="L56" s="8" t="s">
        <v>215</v>
      </c>
      <c r="M56" s="6" t="s">
        <v>72</v>
      </c>
      <c r="N56" s="8" t="s">
        <v>123</v>
      </c>
      <c r="O56" s="8" t="s">
        <v>61</v>
      </c>
      <c r="P56" s="6" t="s">
        <v>74</v>
      </c>
      <c r="Q56" s="6" t="s">
        <v>75</v>
      </c>
      <c r="R56" s="8" t="s">
        <v>216</v>
      </c>
      <c r="S56" s="8" t="s">
        <v>77</v>
      </c>
      <c r="T56" s="9">
        <v>290</v>
      </c>
      <c r="U56" s="6" t="s">
        <v>89</v>
      </c>
      <c r="V56" s="6" t="s">
        <v>34</v>
      </c>
      <c r="W56" s="10" t="s">
        <v>79</v>
      </c>
    </row>
    <row r="57" customHeight="1" spans="1:23">
      <c r="A57" s="6" t="s">
        <v>365</v>
      </c>
      <c r="B57" s="6" t="s">
        <v>366</v>
      </c>
      <c r="C57" s="6" t="s">
        <v>63</v>
      </c>
      <c r="D57" s="6" t="s">
        <v>367</v>
      </c>
      <c r="E57" s="7" t="s">
        <v>368</v>
      </c>
      <c r="F57" s="7" t="s">
        <v>34</v>
      </c>
      <c r="G57" s="6" t="s">
        <v>369</v>
      </c>
      <c r="H57" s="6" t="s">
        <v>85</v>
      </c>
      <c r="I57" s="6" t="s">
        <v>101</v>
      </c>
      <c r="J57" s="6" t="s">
        <v>102</v>
      </c>
      <c r="K57" s="8" t="s">
        <v>370</v>
      </c>
      <c r="L57" s="8" t="s">
        <v>170</v>
      </c>
      <c r="M57" s="6" t="s">
        <v>72</v>
      </c>
      <c r="N57" s="8" t="s">
        <v>370</v>
      </c>
      <c r="O57" s="8" t="s">
        <v>107</v>
      </c>
      <c r="P57" s="6" t="s">
        <v>74</v>
      </c>
      <c r="Q57" s="6" t="s">
        <v>75</v>
      </c>
      <c r="R57" s="8" t="s">
        <v>371</v>
      </c>
      <c r="S57" s="8" t="s">
        <v>77</v>
      </c>
      <c r="T57" s="9">
        <v>1100</v>
      </c>
      <c r="U57" s="6" t="s">
        <v>89</v>
      </c>
      <c r="V57" s="6" t="s">
        <v>34</v>
      </c>
      <c r="W57" s="10" t="s">
        <v>79</v>
      </c>
    </row>
    <row r="58" customHeight="1" spans="1:23">
      <c r="A58" t="s">
        <v>34</v>
      </c>
      <c r="B58" t="s">
        <v>34</v>
      </c>
      <c r="C58" t="s">
        <v>34</v>
      </c>
      <c r="D58" t="s">
        <v>34</v>
      </c>
      <c r="E58" t="s">
        <v>34</v>
      </c>
      <c r="F58" t="s">
        <v>34</v>
      </c>
      <c r="G58" t="s">
        <v>34</v>
      </c>
      <c r="H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P58" t="s">
        <v>34</v>
      </c>
      <c r="Q58" s="12" t="s">
        <v>372</v>
      </c>
      <c r="R58" s="8" t="s">
        <v>373</v>
      </c>
      <c r="S58" s="13" t="s">
        <v>374</v>
      </c>
      <c r="T58" s="14">
        <f>SUM(T9:T57)</f>
        <v>38295.4</v>
      </c>
      <c r="U58" t="s">
        <v>34</v>
      </c>
      <c r="V58" t="s">
        <v>34</v>
      </c>
    </row>
    <row r="59" customHeight="1" spans="1:23">
      <c r="Q59" s="15"/>
      <c r="R59" s="15"/>
      <c r="S59" s="16"/>
      <c r="T59" s="16"/>
    </row>
    <row r="60" customHeight="1" spans="1:23">
      <c r="Q60" s="15"/>
      <c r="R60" s="15"/>
      <c r="S60" s="16"/>
      <c r="T60" s="16"/>
    </row>
    <row r="61" customHeight="1" spans="1:23">
      <c r="A61" s="17" t="s">
        <v>375</v>
      </c>
    </row>
    <row r="62" customHeight="1" spans="1:23">
      <c r="A62" s="17" t="s">
        <v>376</v>
      </c>
    </row>
    <row r="63" customHeight="1" spans="1:23">
      <c r="A63" s="17" t="s">
        <v>377</v>
      </c>
    </row>
    <row r="64" customHeight="1" spans="1:23">
      <c r="A64" s="17" t="s">
        <v>378</v>
      </c>
    </row>
    <row r="65" customHeight="1" spans="1:22">
      <c r="A65" s="17" t="s">
        <v>379</v>
      </c>
      <c r="B65" t="s">
        <v>34</v>
      </c>
      <c r="C65" t="s">
        <v>34</v>
      </c>
      <c r="D65" t="s">
        <v>34</v>
      </c>
      <c r="E65" t="s">
        <v>34</v>
      </c>
      <c r="F65" t="s">
        <v>34</v>
      </c>
      <c r="G65" t="s">
        <v>34</v>
      </c>
      <c r="H65" t="s">
        <v>34</v>
      </c>
      <c r="J65" t="s">
        <v>34</v>
      </c>
      <c r="K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</row>
    <row r="66" customHeight="1" spans="1:22">
      <c r="A66" t="s">
        <v>34</v>
      </c>
      <c r="F66" t="s">
        <v>34</v>
      </c>
      <c r="G66" t="s">
        <v>34</v>
      </c>
      <c r="H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</row>
    <row r="67" customHeight="1" spans="1:22">
      <c r="A67" t="s">
        <v>34</v>
      </c>
      <c r="K67" t="s">
        <v>34</v>
      </c>
      <c r="L67" t="s">
        <v>34</v>
      </c>
      <c r="M67" t="s">
        <v>34</v>
      </c>
      <c r="S67" t="s">
        <v>34</v>
      </c>
      <c r="T67" t="s">
        <v>34</v>
      </c>
      <c r="U67" t="s">
        <v>34</v>
      </c>
      <c r="V67" t="s">
        <v>34</v>
      </c>
    </row>
    <row r="68" customHeight="1" spans="1:22">
      <c r="A68" t="s">
        <v>34</v>
      </c>
      <c r="B68" t="s">
        <v>34</v>
      </c>
      <c r="C68" t="s">
        <v>34</v>
      </c>
      <c r="D68" t="s">
        <v>34</v>
      </c>
      <c r="E68" t="s">
        <v>34</v>
      </c>
      <c r="F68" t="s">
        <v>34</v>
      </c>
      <c r="G68" t="s">
        <v>34</v>
      </c>
      <c r="H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</row>
    <row r="69" customHeight="1" spans="1:22">
      <c r="A69" t="s">
        <v>34</v>
      </c>
      <c r="B69" s="18" t="s">
        <v>380</v>
      </c>
      <c r="C69" s="18"/>
      <c r="D69" s="18"/>
      <c r="E69" s="18"/>
      <c r="F69" t="s">
        <v>34</v>
      </c>
      <c r="G69" t="s">
        <v>34</v>
      </c>
      <c r="H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</row>
    <row r="70" customHeight="1" spans="1:22">
      <c r="A70" t="s">
        <v>34</v>
      </c>
      <c r="B70" s="18" t="s">
        <v>381</v>
      </c>
      <c r="C70" s="18"/>
      <c r="D70" s="18"/>
      <c r="E70" s="18"/>
      <c r="F70" t="s">
        <v>34</v>
      </c>
      <c r="G70" t="s">
        <v>34</v>
      </c>
      <c r="H70" t="s">
        <v>34</v>
      </c>
      <c r="J70" t="s">
        <v>34</v>
      </c>
      <c r="K70" t="s">
        <v>34</v>
      </c>
      <c r="L70" t="s">
        <v>34</v>
      </c>
      <c r="M70" t="s">
        <v>34</v>
      </c>
      <c r="N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</row>
    <row r="71" customHeight="1" spans="1:22">
      <c r="A71" t="s">
        <v>34</v>
      </c>
      <c r="B71" s="18" t="s">
        <v>382</v>
      </c>
      <c r="C71" s="18"/>
      <c r="D71" s="18"/>
      <c r="E71" s="18"/>
      <c r="F71" t="s">
        <v>34</v>
      </c>
      <c r="G71" t="s">
        <v>34</v>
      </c>
      <c r="H71" t="s">
        <v>34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</row>
    <row r="72" customHeight="1" spans="1:22">
      <c r="A72" t="s">
        <v>34</v>
      </c>
      <c r="B72" s="18" t="s">
        <v>383</v>
      </c>
      <c r="C72" s="18"/>
      <c r="D72" s="18"/>
      <c r="E72" s="18"/>
      <c r="F72" t="s">
        <v>34</v>
      </c>
      <c r="G72" t="s">
        <v>34</v>
      </c>
      <c r="H72" t="s">
        <v>34</v>
      </c>
      <c r="J72" t="s">
        <v>34</v>
      </c>
      <c r="K72" t="s">
        <v>34</v>
      </c>
      <c r="L72" t="s">
        <v>34</v>
      </c>
      <c r="M72" t="s">
        <v>34</v>
      </c>
      <c r="N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</row>
    <row r="73" customHeight="1" spans="1:22">
      <c r="A73" t="s">
        <v>34</v>
      </c>
      <c r="B73" s="18" t="s">
        <v>384</v>
      </c>
      <c r="C73" s="18"/>
      <c r="D73" s="18"/>
      <c r="E73" s="18"/>
      <c r="F73" t="s">
        <v>34</v>
      </c>
      <c r="G73" t="s">
        <v>34</v>
      </c>
      <c r="H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</row>
    <row r="74" customHeight="1" spans="1:22">
      <c r="A74" t="s">
        <v>34</v>
      </c>
      <c r="B74" s="18" t="s">
        <v>34</v>
      </c>
      <c r="C74" s="18"/>
      <c r="D74" s="18"/>
      <c r="E74" s="18"/>
      <c r="F74" t="s">
        <v>34</v>
      </c>
      <c r="G74" t="s">
        <v>34</v>
      </c>
      <c r="H74" t="s">
        <v>34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</row>
    <row r="75" customHeight="1" spans="1:22">
      <c r="A75" t="s">
        <v>34</v>
      </c>
      <c r="B75" s="18" t="s">
        <v>385</v>
      </c>
      <c r="C75" s="18"/>
      <c r="D75" s="18"/>
      <c r="E75" s="18"/>
      <c r="F75" t="s">
        <v>34</v>
      </c>
      <c r="G75" t="s">
        <v>34</v>
      </c>
      <c r="H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</row>
    <row r="76" customHeight="1" spans="1:22">
      <c r="A76" t="s">
        <v>34</v>
      </c>
      <c r="B76" s="18" t="s">
        <v>381</v>
      </c>
      <c r="C76" s="18"/>
      <c r="D76" s="18"/>
      <c r="E76" s="18"/>
      <c r="F76" t="s">
        <v>34</v>
      </c>
      <c r="G76" t="s">
        <v>34</v>
      </c>
      <c r="H76" t="s">
        <v>34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</row>
    <row r="77" customHeight="1" spans="1:22">
      <c r="A77" t="s">
        <v>34</v>
      </c>
      <c r="B77" s="18" t="s">
        <v>386</v>
      </c>
      <c r="C77" s="18"/>
      <c r="D77" s="18"/>
      <c r="E77" s="18"/>
      <c r="F77" t="s">
        <v>34</v>
      </c>
      <c r="G77" t="s">
        <v>34</v>
      </c>
      <c r="H77" t="s">
        <v>34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</row>
    <row r="78" customHeight="1" spans="1:22">
      <c r="A78" t="s">
        <v>34</v>
      </c>
      <c r="B78" s="18" t="s">
        <v>387</v>
      </c>
      <c r="C78" s="18"/>
      <c r="D78" s="18"/>
      <c r="E78" s="18"/>
      <c r="F78" t="s">
        <v>34</v>
      </c>
      <c r="G78" t="s">
        <v>34</v>
      </c>
      <c r="H78" t="s">
        <v>34</v>
      </c>
      <c r="J78" t="s">
        <v>34</v>
      </c>
      <c r="K78" t="s">
        <v>34</v>
      </c>
      <c r="L78" t="s">
        <v>34</v>
      </c>
      <c r="M78" t="s">
        <v>34</v>
      </c>
      <c r="N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</row>
    <row r="79" customHeight="1" spans="1:22">
      <c r="A79" t="s">
        <v>34</v>
      </c>
      <c r="B79" s="18" t="s">
        <v>384</v>
      </c>
      <c r="C79" s="18"/>
      <c r="D79" s="18"/>
      <c r="E79" s="18"/>
      <c r="F79" t="s">
        <v>34</v>
      </c>
      <c r="G79" t="s">
        <v>34</v>
      </c>
      <c r="H79" t="s">
        <v>34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</row>
    <row r="80" customHeight="1" spans="1:22">
      <c r="A80" t="s">
        <v>34</v>
      </c>
      <c r="B80" s="18" t="s">
        <v>34</v>
      </c>
      <c r="C80" s="18"/>
      <c r="D80" s="18"/>
      <c r="E80" s="18"/>
      <c r="F80" t="s">
        <v>34</v>
      </c>
      <c r="G80" t="s">
        <v>34</v>
      </c>
      <c r="H80" t="s">
        <v>34</v>
      </c>
      <c r="J80" t="s">
        <v>34</v>
      </c>
      <c r="K80" t="s">
        <v>34</v>
      </c>
      <c r="L80" t="s">
        <v>34</v>
      </c>
      <c r="M80" t="s">
        <v>34</v>
      </c>
      <c r="N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</row>
    <row r="81" customHeight="1" spans="1:22">
      <c r="A81" t="s">
        <v>34</v>
      </c>
      <c r="B81" t="s">
        <v>34</v>
      </c>
      <c r="C81" t="s">
        <v>34</v>
      </c>
      <c r="D81" t="s">
        <v>34</v>
      </c>
      <c r="E81" t="s">
        <v>34</v>
      </c>
      <c r="F81" t="s">
        <v>34</v>
      </c>
      <c r="G81" t="s">
        <v>34</v>
      </c>
      <c r="H81" t="s">
        <v>34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</row>
    <row r="82" customHeight="1" spans="1:22">
      <c r="A82" t="s">
        <v>34</v>
      </c>
      <c r="B82" t="s">
        <v>34</v>
      </c>
      <c r="C82" t="s">
        <v>34</v>
      </c>
      <c r="D82" t="s">
        <v>34</v>
      </c>
      <c r="E82" t="s">
        <v>34</v>
      </c>
      <c r="F82" t="s">
        <v>34</v>
      </c>
      <c r="G82" t="s">
        <v>34</v>
      </c>
      <c r="H82" t="s">
        <v>34</v>
      </c>
      <c r="J82" t="s">
        <v>34</v>
      </c>
      <c r="K82" t="s">
        <v>34</v>
      </c>
      <c r="L82" t="s">
        <v>34</v>
      </c>
      <c r="M82" t="s">
        <v>34</v>
      </c>
      <c r="N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</row>
    <row r="83" customHeight="1" spans="1:22">
      <c r="A83" t="s">
        <v>34</v>
      </c>
      <c r="B83" t="s">
        <v>34</v>
      </c>
      <c r="C83" t="s">
        <v>34</v>
      </c>
      <c r="G83" t="s">
        <v>34</v>
      </c>
      <c r="S83" t="s">
        <v>34</v>
      </c>
      <c r="T83" t="s">
        <v>34</v>
      </c>
      <c r="U83" t="s">
        <v>34</v>
      </c>
      <c r="V83" t="s">
        <v>34</v>
      </c>
    </row>
    <row r="84" customHeight="1" spans="1:22">
      <c r="A84" t="s">
        <v>34</v>
      </c>
      <c r="B84" t="s">
        <v>34</v>
      </c>
      <c r="C84" t="s">
        <v>34</v>
      </c>
      <c r="S84" t="s">
        <v>34</v>
      </c>
      <c r="T84" t="s">
        <v>34</v>
      </c>
      <c r="U84" t="s">
        <v>34</v>
      </c>
      <c r="V84" t="s">
        <v>34</v>
      </c>
    </row>
    <row r="85" customHeight="1" spans="1:22">
      <c r="A85" t="s">
        <v>34</v>
      </c>
      <c r="B85" t="s">
        <v>34</v>
      </c>
      <c r="C85" t="s">
        <v>34</v>
      </c>
      <c r="E85" t="s">
        <v>34</v>
      </c>
      <c r="F85" t="s">
        <v>34</v>
      </c>
      <c r="G85" t="s">
        <v>34</v>
      </c>
      <c r="H85" t="s">
        <v>34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</row>
    <row r="86" customHeight="1" spans="1:22">
      <c r="A86" t="s">
        <v>34</v>
      </c>
      <c r="B86" t="s">
        <v>34</v>
      </c>
      <c r="C86" t="s">
        <v>34</v>
      </c>
      <c r="D86" t="s">
        <v>34</v>
      </c>
      <c r="E86" t="s">
        <v>34</v>
      </c>
      <c r="F86" t="s">
        <v>34</v>
      </c>
      <c r="G86" t="s">
        <v>34</v>
      </c>
      <c r="H86" t="s">
        <v>34</v>
      </c>
      <c r="J86" t="s">
        <v>34</v>
      </c>
      <c r="K86" t="s">
        <v>34</v>
      </c>
      <c r="L86" t="s">
        <v>34</v>
      </c>
      <c r="M86" t="s">
        <v>34</v>
      </c>
      <c r="N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</row>
    <row r="87" customHeight="1" spans="1:22">
      <c r="A87" t="s">
        <v>34</v>
      </c>
      <c r="B87" t="s">
        <v>34</v>
      </c>
      <c r="C87" t="s">
        <v>34</v>
      </c>
      <c r="D87" t="s">
        <v>34</v>
      </c>
      <c r="E87" t="s">
        <v>34</v>
      </c>
      <c r="F87" t="s">
        <v>34</v>
      </c>
      <c r="G87" t="s">
        <v>34</v>
      </c>
      <c r="H87" t="s">
        <v>34</v>
      </c>
      <c r="J87" t="s">
        <v>34</v>
      </c>
      <c r="K87" t="s">
        <v>34</v>
      </c>
      <c r="L87" t="s">
        <v>34</v>
      </c>
      <c r="M87" t="s">
        <v>34</v>
      </c>
      <c r="N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</row>
    <row r="88" customHeight="1" spans="1:22">
      <c r="A88" t="s">
        <v>34</v>
      </c>
      <c r="B88" t="s">
        <v>34</v>
      </c>
      <c r="C88" t="s">
        <v>34</v>
      </c>
      <c r="D88" t="s">
        <v>34</v>
      </c>
      <c r="E88" t="s">
        <v>34</v>
      </c>
      <c r="F88" t="s">
        <v>34</v>
      </c>
      <c r="G88" t="s">
        <v>34</v>
      </c>
      <c r="H88" t="s">
        <v>34</v>
      </c>
      <c r="J88" t="s">
        <v>34</v>
      </c>
      <c r="K88" t="s">
        <v>34</v>
      </c>
      <c r="L88" t="s">
        <v>34</v>
      </c>
      <c r="M88" t="s">
        <v>34</v>
      </c>
      <c r="N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</row>
    <row r="89" customHeight="1" spans="1:22">
      <c r="A89" t="s">
        <v>34</v>
      </c>
      <c r="B89" t="s">
        <v>34</v>
      </c>
      <c r="C89" t="s">
        <v>34</v>
      </c>
      <c r="D89" t="s">
        <v>34</v>
      </c>
      <c r="E89" t="s">
        <v>34</v>
      </c>
      <c r="F89" t="s">
        <v>34</v>
      </c>
      <c r="G89" t="s">
        <v>34</v>
      </c>
      <c r="H89" t="s">
        <v>34</v>
      </c>
      <c r="J89" t="s">
        <v>34</v>
      </c>
      <c r="K89" t="s">
        <v>34</v>
      </c>
      <c r="L89" t="s">
        <v>34</v>
      </c>
      <c r="M89" t="s">
        <v>34</v>
      </c>
      <c r="N89" t="s">
        <v>34</v>
      </c>
      <c r="Q89" t="s">
        <v>34</v>
      </c>
      <c r="R89" t="s">
        <v>34</v>
      </c>
    </row>
    <row r="90" customHeight="1" spans="1:22">
      <c r="A90" t="s">
        <v>34</v>
      </c>
      <c r="B90" t="s">
        <v>34</v>
      </c>
      <c r="C90" t="s">
        <v>34</v>
      </c>
      <c r="D90" t="s">
        <v>34</v>
      </c>
      <c r="E90" t="s">
        <v>34</v>
      </c>
      <c r="F90" t="s">
        <v>34</v>
      </c>
      <c r="G90" t="s">
        <v>34</v>
      </c>
      <c r="H90" t="s">
        <v>34</v>
      </c>
      <c r="J90" t="s">
        <v>34</v>
      </c>
      <c r="K90" t="s">
        <v>34</v>
      </c>
      <c r="L90" t="s">
        <v>34</v>
      </c>
      <c r="M90" t="s">
        <v>34</v>
      </c>
      <c r="N90" t="s">
        <v>34</v>
      </c>
      <c r="Q90" t="s">
        <v>34</v>
      </c>
      <c r="R90" t="s">
        <v>34</v>
      </c>
    </row>
    <row r="91" customHeight="1" spans="1:22">
      <c r="A91" t="s">
        <v>34</v>
      </c>
      <c r="B91" t="s">
        <v>34</v>
      </c>
      <c r="C91" t="s">
        <v>34</v>
      </c>
      <c r="D91" t="s">
        <v>34</v>
      </c>
      <c r="E91" t="s">
        <v>34</v>
      </c>
      <c r="F91" t="s">
        <v>34</v>
      </c>
      <c r="G91" t="s">
        <v>34</v>
      </c>
      <c r="H91" t="s">
        <v>34</v>
      </c>
      <c r="J91" t="s">
        <v>34</v>
      </c>
      <c r="K91" t="s">
        <v>34</v>
      </c>
      <c r="L91" t="s">
        <v>34</v>
      </c>
      <c r="M91" t="s">
        <v>34</v>
      </c>
      <c r="N91" t="s">
        <v>34</v>
      </c>
      <c r="Q91" t="s">
        <v>34</v>
      </c>
      <c r="R91" t="s">
        <v>34</v>
      </c>
    </row>
  </sheetData>
  <autoFilter xmlns:etc="http://www.wps.cn/officeDocument/2017/etCustomData" ref="A8:W58" etc:filterBottomFollowUsedRange="0">
    <extLst/>
  </autoFilter>
  <mergeCells count="32">
    <mergeCell ref="A1:J1"/>
    <mergeCell ref="A2:J2"/>
    <mergeCell ref="A3:J3"/>
    <mergeCell ref="A4:B4"/>
    <mergeCell ref="C4:D4"/>
    <mergeCell ref="E4:J4"/>
    <mergeCell ref="A5:B5"/>
    <mergeCell ref="C5:D5"/>
    <mergeCell ref="E5:J5"/>
    <mergeCell ref="A6:B6"/>
    <mergeCell ref="C6:D6"/>
    <mergeCell ref="E6:J6"/>
    <mergeCell ref="A7:B7"/>
    <mergeCell ref="C7:D7"/>
    <mergeCell ref="E7:J7"/>
    <mergeCell ref="A61:V61"/>
    <mergeCell ref="A62:V62"/>
    <mergeCell ref="A63:V63"/>
    <mergeCell ref="A64:V64"/>
    <mergeCell ref="A65:V65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应收汇总表</vt:lpstr>
      <vt:lpstr>26.4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青 春 留 白</cp:lastModifiedBy>
  <dcterms:created xsi:type="dcterms:W3CDTF">2025-05-27T01:55:00Z</dcterms:created>
  <dcterms:modified xsi:type="dcterms:W3CDTF">2026-05-18T08:09:09Z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E756482A9A974456AAED695AF17B440A_13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